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drawings/drawing8.xml" ContentType="application/vnd.openxmlformats-officedocument.drawing+xml"/>
  <Override PartName="/xl/charts/chart7.xml" ContentType="application/vnd.openxmlformats-officedocument.drawingml.chart+xml"/>
  <Override PartName="/xl/drawings/drawing9.xml" ContentType="application/vnd.openxmlformats-officedocument.drawing+xml"/>
  <Override PartName="/xl/charts/chart8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9875dccd7ca8a952/Desktop/School/"/>
    </mc:Choice>
  </mc:AlternateContent>
  <xr:revisionPtr revIDLastSave="201" documentId="14_{0E51EC00-392A-4ECA-B580-1CBA8FF79C2E}" xr6:coauthVersionLast="47" xr6:coauthVersionMax="47" xr10:uidLastSave="{05EFACBC-52EB-41AA-B520-572FF4DCEF05}"/>
  <bookViews>
    <workbookView xWindow="23" yWindow="308" windowWidth="19042" windowHeight="14752" activeTab="1" xr2:uid="{00000000-000D-0000-FFFF-FFFF00000000}"/>
  </bookViews>
  <sheets>
    <sheet name="Introduction" sheetId="1" r:id="rId1"/>
    <sheet name="Product backlog" sheetId="2" r:id="rId2"/>
    <sheet name="Sprint 0" sheetId="27" r:id="rId3"/>
    <sheet name="Sprint 1" sheetId="28" r:id="rId4"/>
    <sheet name="Sprint 2" sheetId="29" r:id="rId5"/>
    <sheet name="Sprint 3" sheetId="30" r:id="rId6"/>
    <sheet name="Sprint 4" sheetId="31" r:id="rId7"/>
    <sheet name="Sprint 5" sheetId="32" r:id="rId8"/>
    <sheet name="Sprint 6" sheetId="33" r:id="rId9"/>
    <sheet name="Sprint 7" sheetId="34" r:id="rId10"/>
  </sheets>
  <definedNames>
    <definedName name="_xlnm._FilterDatabase" localSheetId="1" hidden="1">'Product backlog'!$A$10:$F$10</definedName>
    <definedName name="_xlnm._FilterDatabase" localSheetId="2" hidden="1">'Sprint 0'!$A$10:$E$10</definedName>
    <definedName name="_xlnm._FilterDatabase" localSheetId="3" hidden="1">'Sprint 1'!$A$10:$E$10</definedName>
    <definedName name="_xlnm._FilterDatabase" localSheetId="4" hidden="1">'Sprint 2'!$A$10:$E$10</definedName>
    <definedName name="_xlnm._FilterDatabase" localSheetId="5" hidden="1">'Sprint 3'!$A$10:$E$10</definedName>
    <definedName name="_xlnm._FilterDatabase" localSheetId="6" hidden="1">'Sprint 4'!$A$10:$E$10</definedName>
    <definedName name="_xlnm._FilterDatabase" localSheetId="7" hidden="1">'Sprint 5'!$A$10:$E$10</definedName>
    <definedName name="_xlnm._FilterDatabase" localSheetId="8" hidden="1">'Sprint 6'!$A$10:$E$10</definedName>
    <definedName name="_xlnm._FilterDatabase" localSheetId="9" hidden="1">'Sprint 7'!$A$10:$E$10</definedName>
    <definedName name="Z_988818D5_2AEF_4A9A_A55E_18240173EC63_.wvu.FilterData" localSheetId="1" hidden="1">'Product backlog'!$A$10:$F$10</definedName>
    <definedName name="Z_988818D5_2AEF_4A9A_A55E_18240173EC63_.wvu.FilterData" localSheetId="2" hidden="1">'Sprint 0'!$A$10:$E$10</definedName>
    <definedName name="Z_988818D5_2AEF_4A9A_A55E_18240173EC63_.wvu.FilterData" localSheetId="3" hidden="1">'Sprint 1'!$A$10:$E$10</definedName>
    <definedName name="Z_988818D5_2AEF_4A9A_A55E_18240173EC63_.wvu.FilterData" localSheetId="4" hidden="1">'Sprint 2'!$A$10:$E$10</definedName>
    <definedName name="Z_988818D5_2AEF_4A9A_A55E_18240173EC63_.wvu.FilterData" localSheetId="5" hidden="1">'Sprint 3'!$A$10:$E$10</definedName>
    <definedName name="Z_988818D5_2AEF_4A9A_A55E_18240173EC63_.wvu.FilterData" localSheetId="6" hidden="1">'Sprint 4'!$A$10:$E$10</definedName>
    <definedName name="Z_988818D5_2AEF_4A9A_A55E_18240173EC63_.wvu.FilterData" localSheetId="7" hidden="1">'Sprint 5'!$A$10:$E$10</definedName>
    <definedName name="Z_988818D5_2AEF_4A9A_A55E_18240173EC63_.wvu.FilterData" localSheetId="8" hidden="1">'Sprint 6'!$A$10:$E$10</definedName>
    <definedName name="Z_988818D5_2AEF_4A9A_A55E_18240173EC63_.wvu.FilterData" localSheetId="9" hidden="1">'Sprint 7'!$A$10:$E$10</definedName>
    <definedName name="Z_AF9CDD9E_3CB3_EE48_8887_F1090B6AE042_.wvu.FilterData" localSheetId="1" hidden="1">'Product backlog'!$A$10:$F$10</definedName>
    <definedName name="Z_AF9CDD9E_3CB3_EE48_8887_F1090B6AE042_.wvu.FilterData" localSheetId="2" hidden="1">'Sprint 0'!$A$10:$E$10</definedName>
    <definedName name="Z_AF9CDD9E_3CB3_EE48_8887_F1090B6AE042_.wvu.FilterData" localSheetId="3" hidden="1">'Sprint 1'!$A$10:$E$10</definedName>
    <definedName name="Z_AF9CDD9E_3CB3_EE48_8887_F1090B6AE042_.wvu.FilterData" localSheetId="4" hidden="1">'Sprint 2'!$A$10:$E$10</definedName>
    <definedName name="Z_AF9CDD9E_3CB3_EE48_8887_F1090B6AE042_.wvu.FilterData" localSheetId="5" hidden="1">'Sprint 3'!$A$10:$E$10</definedName>
    <definedName name="Z_AF9CDD9E_3CB3_EE48_8887_F1090B6AE042_.wvu.FilterData" localSheetId="6" hidden="1">'Sprint 4'!$A$10:$E$10</definedName>
    <definedName name="Z_AF9CDD9E_3CB3_EE48_8887_F1090B6AE042_.wvu.FilterData" localSheetId="7" hidden="1">'Sprint 5'!$A$10:$E$10</definedName>
    <definedName name="Z_AF9CDD9E_3CB3_EE48_8887_F1090B6AE042_.wvu.FilterData" localSheetId="8" hidden="1">'Sprint 6'!$A$10:$E$10</definedName>
    <definedName name="Z_AF9CDD9E_3CB3_EE48_8887_F1090B6AE042_.wvu.FilterData" localSheetId="9" hidden="1">'Sprint 7'!$A$10:$E$10</definedName>
    <definedName name="Z_F117AA09_D9DE_4D2E_A2DF_77AB3D7617C3_.wvu.FilterData" localSheetId="1" hidden="1">'Product backlog'!$A$10:$F$10</definedName>
    <definedName name="Z_F117AA09_D9DE_4D2E_A2DF_77AB3D7617C3_.wvu.FilterData" localSheetId="2" hidden="1">'Sprint 0'!$A$10:$E$10</definedName>
    <definedName name="Z_F117AA09_D9DE_4D2E_A2DF_77AB3D7617C3_.wvu.FilterData" localSheetId="3" hidden="1">'Sprint 1'!$A$10:$E$10</definedName>
    <definedName name="Z_F117AA09_D9DE_4D2E_A2DF_77AB3D7617C3_.wvu.FilterData" localSheetId="4" hidden="1">'Sprint 2'!$A$10:$E$10</definedName>
    <definedName name="Z_F117AA09_D9DE_4D2E_A2DF_77AB3D7617C3_.wvu.FilterData" localSheetId="5" hidden="1">'Sprint 3'!$A$10:$E$10</definedName>
    <definedName name="Z_F117AA09_D9DE_4D2E_A2DF_77AB3D7617C3_.wvu.FilterData" localSheetId="6" hidden="1">'Sprint 4'!$A$10:$E$10</definedName>
    <definedName name="Z_F117AA09_D9DE_4D2E_A2DF_77AB3D7617C3_.wvu.FilterData" localSheetId="7" hidden="1">'Sprint 5'!$A$10:$E$10</definedName>
    <definedName name="Z_F117AA09_D9DE_4D2E_A2DF_77AB3D7617C3_.wvu.FilterData" localSheetId="8" hidden="1">'Sprint 6'!$A$10:$E$10</definedName>
    <definedName name="Z_F117AA09_D9DE_4D2E_A2DF_77AB3D7617C3_.wvu.FilterData" localSheetId="9" hidden="1">'Sprint 7'!$A$10:$E$10</definedName>
  </definedNames>
  <calcPr calcId="191029"/>
  <customWorkbookViews>
    <customWorkbookView name="Anders Pedersen - Personal View" guid="{988818D5-2AEF-4A9A-A55E-18240173EC63}" mergeInterval="0" personalView="1" maximized="1" xWindow="-8" yWindow="-8" windowWidth="1382" windowHeight="744" activeSheetId="2"/>
    <customWorkbookView name="Sam Burke - Personal View" guid="{AF9CDD9E-3CB3-EE48-8887-F1090B6AE042}" mergeInterval="0" personalView="1" yWindow="54" windowWidth="1440" windowHeight="741" activeSheetId="2"/>
    <customWorkbookView name="De La Cruz, Anthony - Personal View" guid="{F117AA09-D9DE-4D2E-A2DF-77AB3D7617C3}" mergeInterval="0" personalView="1" maximized="1" xWindow="-8" yWindow="-8" windowWidth="1936" windowHeight="1056" activeSheetId="3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1" i="34" l="1"/>
  <c r="G21" i="34" s="1"/>
  <c r="H21" i="34" s="1"/>
  <c r="I21" i="34" s="1"/>
  <c r="J21" i="34" s="1"/>
  <c r="K21" i="34" s="1"/>
  <c r="L21" i="34" s="1"/>
  <c r="L26" i="34"/>
  <c r="F21" i="33"/>
  <c r="G21" i="33" s="1"/>
  <c r="H21" i="33" s="1"/>
  <c r="I21" i="33" s="1"/>
  <c r="J21" i="33" s="1"/>
  <c r="K21" i="33" s="1"/>
  <c r="L21" i="33" s="1"/>
  <c r="F21" i="32"/>
  <c r="G21" i="32" s="1"/>
  <c r="H21" i="32" s="1"/>
  <c r="I21" i="32" s="1"/>
  <c r="J21" i="32" s="1"/>
  <c r="K21" i="32" s="1"/>
  <c r="L21" i="32" s="1"/>
  <c r="F21" i="31"/>
  <c r="G21" i="31" s="1"/>
  <c r="H21" i="31" s="1"/>
  <c r="I21" i="31" s="1"/>
  <c r="J21" i="31" s="1"/>
  <c r="K21" i="31" s="1"/>
  <c r="L21" i="31" s="1"/>
  <c r="L26" i="31"/>
  <c r="F21" i="30"/>
  <c r="G21" i="30" s="1"/>
  <c r="H21" i="30" s="1"/>
  <c r="I21" i="30" s="1"/>
  <c r="J21" i="30" s="1"/>
  <c r="K21" i="30" s="1"/>
  <c r="L21" i="30" s="1"/>
  <c r="F21" i="29"/>
  <c r="G21" i="29" s="1"/>
  <c r="H21" i="29" s="1"/>
  <c r="I21" i="29" s="1"/>
  <c r="J21" i="29" s="1"/>
  <c r="K21" i="29" s="1"/>
  <c r="L21" i="29" s="1"/>
  <c r="S26" i="34"/>
  <c r="L20" i="34"/>
  <c r="E20" i="34"/>
  <c r="J20" i="34" s="1"/>
  <c r="F10" i="34"/>
  <c r="G10" i="34" s="1"/>
  <c r="H10" i="34" s="1"/>
  <c r="I10" i="34" s="1"/>
  <c r="J10" i="34" s="1"/>
  <c r="K10" i="34" s="1"/>
  <c r="L10" i="34" s="1"/>
  <c r="A2" i="34"/>
  <c r="S26" i="33"/>
  <c r="L26" i="33"/>
  <c r="L20" i="33"/>
  <c r="E20" i="33"/>
  <c r="F10" i="33"/>
  <c r="G10" i="33" s="1"/>
  <c r="H10" i="33" s="1"/>
  <c r="I10" i="33" s="1"/>
  <c r="J10" i="33" s="1"/>
  <c r="K10" i="33" s="1"/>
  <c r="L10" i="33" s="1"/>
  <c r="A2" i="33"/>
  <c r="S26" i="32"/>
  <c r="L26" i="32"/>
  <c r="L20" i="32"/>
  <c r="J20" i="32"/>
  <c r="E20" i="32"/>
  <c r="I20" i="32" s="1"/>
  <c r="F10" i="32"/>
  <c r="G10" i="32" s="1"/>
  <c r="H10" i="32" s="1"/>
  <c r="I10" i="32" s="1"/>
  <c r="J10" i="32" s="1"/>
  <c r="K10" i="32" s="1"/>
  <c r="L10" i="32" s="1"/>
  <c r="A2" i="32"/>
  <c r="S26" i="31"/>
  <c r="L20" i="31"/>
  <c r="F20" i="31"/>
  <c r="H20" i="31" s="1"/>
  <c r="E20" i="31"/>
  <c r="K20" i="31" s="1"/>
  <c r="F10" i="31"/>
  <c r="G10" i="31" s="1"/>
  <c r="H10" i="31" s="1"/>
  <c r="I10" i="31" s="1"/>
  <c r="J10" i="31" s="1"/>
  <c r="K10" i="31" s="1"/>
  <c r="L10" i="31" s="1"/>
  <c r="A2" i="31"/>
  <c r="S26" i="30"/>
  <c r="L26" i="30"/>
  <c r="L20" i="30"/>
  <c r="K20" i="30"/>
  <c r="E20" i="30"/>
  <c r="F10" i="30"/>
  <c r="G10" i="30" s="1"/>
  <c r="H10" i="30" s="1"/>
  <c r="I10" i="30" s="1"/>
  <c r="J10" i="30" s="1"/>
  <c r="K10" i="30" s="1"/>
  <c r="L10" i="30" s="1"/>
  <c r="A2" i="30"/>
  <c r="S26" i="29"/>
  <c r="L26" i="29"/>
  <c r="L20" i="29"/>
  <c r="E20" i="29"/>
  <c r="F10" i="29"/>
  <c r="G10" i="29" s="1"/>
  <c r="H10" i="29" s="1"/>
  <c r="I10" i="29" s="1"/>
  <c r="J10" i="29" s="1"/>
  <c r="K10" i="29" s="1"/>
  <c r="L10" i="29" s="1"/>
  <c r="A2" i="29"/>
  <c r="S26" i="28"/>
  <c r="L26" i="28"/>
  <c r="L20" i="28"/>
  <c r="E20" i="28"/>
  <c r="F10" i="28"/>
  <c r="G10" i="28" s="1"/>
  <c r="H10" i="28" s="1"/>
  <c r="I10" i="28" s="1"/>
  <c r="J10" i="28" s="1"/>
  <c r="K10" i="28" s="1"/>
  <c r="L10" i="28" s="1"/>
  <c r="A2" i="28"/>
  <c r="E20" i="27"/>
  <c r="S26" i="27"/>
  <c r="L26" i="27"/>
  <c r="L20" i="27"/>
  <c r="K20" i="27"/>
  <c r="F10" i="27"/>
  <c r="G10" i="27" s="1"/>
  <c r="H10" i="27" s="1"/>
  <c r="I10" i="27" s="1"/>
  <c r="J10" i="27" s="1"/>
  <c r="K10" i="27" s="1"/>
  <c r="L10" i="27" s="1"/>
  <c r="A2" i="27"/>
  <c r="K20" i="34" l="1"/>
  <c r="F20" i="34"/>
  <c r="H20" i="34" s="1"/>
  <c r="G20" i="34"/>
  <c r="I20" i="34"/>
  <c r="F20" i="33"/>
  <c r="H20" i="33" s="1"/>
  <c r="G20" i="33"/>
  <c r="I20" i="33"/>
  <c r="J20" i="33"/>
  <c r="K20" i="33"/>
  <c r="K20" i="32"/>
  <c r="F20" i="32"/>
  <c r="H20" i="32" s="1"/>
  <c r="G20" i="32"/>
  <c r="G20" i="31"/>
  <c r="I20" i="31"/>
  <c r="J20" i="31"/>
  <c r="F20" i="30"/>
  <c r="H20" i="30" s="1"/>
  <c r="G20" i="30"/>
  <c r="I20" i="30"/>
  <c r="J20" i="30"/>
  <c r="G20" i="29"/>
  <c r="J20" i="29"/>
  <c r="F20" i="29"/>
  <c r="H20" i="29" s="1"/>
  <c r="K20" i="29"/>
  <c r="I20" i="29"/>
  <c r="F20" i="28"/>
  <c r="G20" i="28"/>
  <c r="I20" i="28"/>
  <c r="J20" i="28"/>
  <c r="K20" i="28"/>
  <c r="F20" i="27"/>
  <c r="G20" i="27"/>
  <c r="I20" i="27"/>
  <c r="J20" i="27"/>
  <c r="H20" i="27" l="1"/>
  <c r="F21" i="27"/>
  <c r="G21" i="27" s="1"/>
  <c r="H21" i="27" s="1"/>
  <c r="I21" i="27" s="1"/>
  <c r="J21" i="27" s="1"/>
  <c r="K21" i="27" s="1"/>
  <c r="L21" i="27" s="1"/>
  <c r="H20" i="28"/>
  <c r="F21" i="28"/>
  <c r="G21" i="28" s="1"/>
  <c r="H21" i="28" s="1"/>
  <c r="I21" i="28" s="1"/>
  <c r="J21" i="28" s="1"/>
  <c r="K21" i="28" s="1"/>
  <c r="L21" i="28" s="1"/>
</calcChain>
</file>

<file path=xl/sharedStrings.xml><?xml version="1.0" encoding="utf-8"?>
<sst xmlns="http://schemas.openxmlformats.org/spreadsheetml/2006/main" count="254" uniqueCount="123">
  <si>
    <t>What is this?</t>
  </si>
  <si>
    <t>This workbook is meant to help manage and piroritize the user stories and features using scrum.</t>
  </si>
  <si>
    <t>How to use and read this document?</t>
  </si>
  <si>
    <r>
      <t>Before each sprint:</t>
    </r>
    <r>
      <rPr>
        <sz val="10"/>
        <rFont val="Calibri"/>
        <family val="2"/>
      </rPr>
      <t xml:space="preserve"> The vendor will break down the user stories into tasks.</t>
    </r>
  </si>
  <si>
    <t>Notes</t>
  </si>
  <si>
    <t>Cells that you can edit have a blue background.</t>
  </si>
  <si>
    <t>Sprints are assumed to be 2 weeks long (10 working days)/</t>
  </si>
  <si>
    <t>Licence</t>
  </si>
  <si>
    <t>This work is licensed under a Creative Commons Attribution-Share Alike 3.0 Unported License.</t>
  </si>
  <si>
    <t>Origins</t>
  </si>
  <si>
    <t>This work is inspired by the Scrum Template published by Nicolas Martignole on his "Touilleur Express" blog. Adapted by Olivier Gérardin.</t>
  </si>
  <si>
    <t>Organizations</t>
  </si>
  <si>
    <t>Project</t>
  </si>
  <si>
    <t>Scrum Master</t>
  </si>
  <si>
    <t>Product Owner</t>
  </si>
  <si>
    <t>Development Team</t>
  </si>
  <si>
    <t>Story ID</t>
  </si>
  <si>
    <t>Title</t>
  </si>
  <si>
    <t>Acceptance Criteria</t>
  </si>
  <si>
    <t>Priority #</t>
  </si>
  <si>
    <t>Sprint #</t>
  </si>
  <si>
    <t>Start date</t>
  </si>
  <si>
    <t>week 1</t>
  </si>
  <si>
    <t>Task ID</t>
  </si>
  <si>
    <t>Description</t>
  </si>
  <si>
    <t>Initial estimate</t>
  </si>
  <si>
    <t>Remaining units (actual)</t>
  </si>
  <si>
    <t>Remaining units (ideal)</t>
  </si>
  <si>
    <t>Project Name</t>
  </si>
  <si>
    <t>Responsibility</t>
  </si>
  <si>
    <r>
      <t>Before project start:</t>
    </r>
    <r>
      <rPr>
        <sz val="10"/>
        <rFont val="Calibri"/>
        <family val="2"/>
      </rPr>
      <t xml:space="preserve"> The product owner is responsible for managing and maintaining the product backlog of user stories. </t>
    </r>
  </si>
  <si>
    <t>Total Team Members</t>
  </si>
  <si>
    <t xml:space="preserve"> Story ID</t>
  </si>
  <si>
    <t>Search Flight Availability</t>
  </si>
  <si>
    <t>User can input origin, destination, date and receive results</t>
  </si>
  <si>
    <t>Developer</t>
  </si>
  <si>
    <t>Retrieve Flight Data</t>
  </si>
  <si>
    <t>System retrieves available flight data from airline sources</t>
  </si>
  <si>
    <t>System successfully retrieves flight data from source</t>
  </si>
  <si>
    <t>Store Flight Data</t>
  </si>
  <si>
    <t>Store flight data in a database</t>
  </si>
  <si>
    <t>Flight data is saved and can be accessed later</t>
  </si>
  <si>
    <t>Display Flight Results</t>
  </si>
  <si>
    <t>Present users with available flights</t>
  </si>
  <si>
    <t>Users can view a list of matching flights</t>
  </si>
  <si>
    <t>Select Flight</t>
  </si>
  <si>
    <t>User can select a flight from results</t>
  </si>
  <si>
    <t>Enter Passenger Information</t>
  </si>
  <si>
    <t>Collect user personal details</t>
  </si>
  <si>
    <t>User can enter required booking information</t>
  </si>
  <si>
    <t>Validate Passenger Information</t>
  </si>
  <si>
    <t>Ensure entered data is correct</t>
  </si>
  <si>
    <t>System prevents invalid or missing data submission</t>
  </si>
  <si>
    <t>Process Payment</t>
  </si>
  <si>
    <t>User can submit payment and complete purchase</t>
  </si>
  <si>
    <t>Validate Payment Information</t>
  </si>
  <si>
    <t>Ensure payment data is valid</t>
  </si>
  <si>
    <t>Invalid payment details are rejected</t>
  </si>
  <si>
    <t>Confirm Booking</t>
  </si>
  <si>
    <t>Provide confirmation after booking</t>
  </si>
  <si>
    <t>User receives confirmation of successful booking</t>
  </si>
  <si>
    <t>Generate Booking Record</t>
  </si>
  <si>
    <t>Store booking in system</t>
  </si>
  <si>
    <t>Booking is saved with unique identifier</t>
  </si>
  <si>
    <t>User Registration</t>
  </si>
  <si>
    <t>User can successfully create account</t>
  </si>
  <si>
    <t>User Login</t>
  </si>
  <si>
    <t>Allow users to log in</t>
  </si>
  <si>
    <t>User can log in with valid credentials</t>
  </si>
  <si>
    <t>Manage User Accounts</t>
  </si>
  <si>
    <t>Allow users to update profile</t>
  </si>
  <si>
    <t>User can modify account information</t>
  </si>
  <si>
    <t>Store Customer Data</t>
  </si>
  <si>
    <t>Maintain customer account data</t>
  </si>
  <si>
    <t>Customer data is stored securely</t>
  </si>
  <si>
    <t>View Booking History</t>
  </si>
  <si>
    <t>Allow users to view past bookings</t>
  </si>
  <si>
    <t>User can see previous reservations</t>
  </si>
  <si>
    <t>Track Flight Status</t>
  </si>
  <si>
    <t>User can view current flight status</t>
  </si>
  <si>
    <t>Flight Status Updates</t>
  </si>
  <si>
    <t>Provide updates (delay/cancel)</t>
  </si>
  <si>
    <t>System reflects updated flight status</t>
  </si>
  <si>
    <t>Notification System</t>
  </si>
  <si>
    <t>Notify users of updates</t>
  </si>
  <si>
    <t>User receives booking and status notifications</t>
  </si>
  <si>
    <t>Error Handling and Validation</t>
  </si>
  <si>
    <t>Handle system errors gracefully</t>
  </si>
  <si>
    <t>System does not crash on invalid input</t>
  </si>
  <si>
    <t>Security and Data Protection</t>
  </si>
  <si>
    <t>Protect sensitive user data</t>
  </si>
  <si>
    <t>User Interface (UI) System</t>
  </si>
  <si>
    <t>Provide user-friendly interface</t>
  </si>
  <si>
    <t>Interface allows easy navigation and interaction</t>
  </si>
  <si>
    <t>Session Management</t>
  </si>
  <si>
    <t>Maintain user sessions</t>
  </si>
  <si>
    <t>User session persists during use</t>
  </si>
  <si>
    <t>Logout Functionality</t>
  </si>
  <si>
    <t>Allow users to log out</t>
  </si>
  <si>
    <t>User can securely log out of system</t>
  </si>
  <si>
    <t>Admin/Reporting Features</t>
  </si>
  <si>
    <t>Track system data for business use</t>
  </si>
  <si>
    <t>System can display booking and sales data</t>
  </si>
  <si>
    <t>Airline Reservation System</t>
  </si>
  <si>
    <t>Blue Group</t>
  </si>
  <si>
    <t>Wayne &amp; Ashton</t>
  </si>
  <si>
    <t>Ashton &amp; Wayne</t>
  </si>
  <si>
    <t>Create initial product backlog</t>
  </si>
  <si>
    <t>Define project scope and requirements</t>
  </si>
  <si>
    <t>Identify MVP features</t>
  </si>
  <si>
    <t>Design high-level system architecture</t>
  </si>
  <si>
    <t>Plan sprint breakdown (assign stories to sprints)</t>
  </si>
  <si>
    <t>Review and finalize backlog</t>
  </si>
  <si>
    <t xml:space="preserve"> </t>
  </si>
  <si>
    <t>Developer 1</t>
  </si>
  <si>
    <t>Developer 2</t>
  </si>
  <si>
    <t>Both</t>
  </si>
  <si>
    <t>User data is protected and access is restricted to authorized users</t>
  </si>
  <si>
    <t>As a traveler, I want to search for available flights so that I can find travel options that meet my needs.</t>
  </si>
  <si>
    <t>As a user, I want to select a flight from the available options so that I can proceed with booking.</t>
  </si>
  <si>
    <t>As a customer, I want to securely pay for my flight so that I can complete my booking.</t>
  </si>
  <si>
    <t>As a new user, I want to create an account so that I can manage my bookings.</t>
  </si>
  <si>
    <t>As a user, I want to track my flight status so that I can stay informed of any changes.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</si>
</sst>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d\ dd/mm"/>
    <numFmt numFmtId="165" formatCode="0.0"/>
  </numFmts>
  <fonts count="26" x14ac:knownFonts="1">
    <font>
      <sz val="10"/>
      <name val="Arial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i/>
      <sz val="10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4"/>
      <color indexed="9"/>
      <name val="Arial"/>
      <family val="2"/>
    </font>
    <font>
      <sz val="10"/>
      <name val="Calibri"/>
      <family val="2"/>
    </font>
    <font>
      <sz val="10"/>
      <name val="Arial"/>
      <family val="2"/>
    </font>
    <font>
      <sz val="12"/>
      <name val="Times New Roman"/>
      <family val="1"/>
    </font>
    <font>
      <sz val="12"/>
      <color indexed="9"/>
      <name val="Times New Roman"/>
      <family val="1"/>
    </font>
    <font>
      <b/>
      <sz val="12"/>
      <name val="Times New Roman"/>
      <family val="1"/>
    </font>
    <font>
      <i/>
      <sz val="12"/>
      <name val="Times New Roman"/>
      <family val="1"/>
    </font>
    <font>
      <b/>
      <i/>
      <sz val="12"/>
      <name val="Times New Roman"/>
      <family val="1"/>
    </font>
    <font>
      <sz val="10"/>
      <name val="Calibri"/>
      <family val="2"/>
      <scheme val="minor"/>
    </font>
    <font>
      <b/>
      <i/>
      <sz val="10"/>
      <name val="Calibri"/>
      <family val="2"/>
      <scheme val="minor"/>
    </font>
    <font>
      <u/>
      <sz val="10"/>
      <color indexed="12"/>
      <name val="Calibri"/>
      <family val="2"/>
      <scheme val="minor"/>
    </font>
    <font>
      <b/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4"/>
      <color indexed="9"/>
      <name val="Calibri"/>
      <family val="2"/>
      <scheme val="minor"/>
    </font>
    <font>
      <b/>
      <i/>
      <sz val="12"/>
      <name val="Times New Roman"/>
      <family val="1"/>
    </font>
    <font>
      <i/>
      <sz val="12"/>
      <color theme="1"/>
      <name val="Times New Roman"/>
      <family val="1"/>
    </font>
    <font>
      <i/>
      <sz val="12"/>
      <name val="Times New Roman"/>
    </font>
    <font>
      <i/>
      <sz val="12"/>
      <color rgb="FF000000"/>
      <name val="Times New Roman"/>
      <family val="1"/>
    </font>
    <font>
      <sz val="12"/>
      <color theme="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CCFFFF"/>
        <bgColor rgb="FF000000"/>
      </patternFill>
    </fill>
    <fill>
      <patternFill patternType="solid">
        <fgColor rgb="FFCCFFFF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1" fillId="0" borderId="0"/>
  </cellStyleXfs>
  <cellXfs count="100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2" fillId="0" borderId="0" xfId="0" applyFont="1" applyAlignment="1">
      <alignment vertical="top" wrapText="1"/>
    </xf>
    <xf numFmtId="0" fontId="0" fillId="0" borderId="0" xfId="0" applyAlignment="1">
      <alignment horizontal="center"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 applyProtection="1">
      <alignment horizontal="center" vertical="top"/>
      <protection hidden="1"/>
    </xf>
    <xf numFmtId="0" fontId="0" fillId="0" borderId="0" xfId="0" applyAlignment="1" applyProtection="1">
      <alignment vertical="top"/>
      <protection locked="0"/>
    </xf>
    <xf numFmtId="0" fontId="2" fillId="0" borderId="1" xfId="0" applyFont="1" applyBorder="1" applyAlignment="1">
      <alignment horizontal="center" vertical="top"/>
    </xf>
    <xf numFmtId="165" fontId="2" fillId="0" borderId="1" xfId="0" applyNumberFormat="1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vertical="top" wrapText="1"/>
    </xf>
    <xf numFmtId="0" fontId="0" fillId="0" borderId="0" xfId="0" applyAlignment="1">
      <alignment horizontal="center" wrapText="1"/>
    </xf>
    <xf numFmtId="0" fontId="6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0" fontId="2" fillId="2" borderId="3" xfId="0" applyFont="1" applyFill="1" applyBorder="1" applyAlignment="1">
      <alignment vertical="top" wrapText="1"/>
    </xf>
    <xf numFmtId="0" fontId="2" fillId="2" borderId="3" xfId="0" applyFont="1" applyFill="1" applyBorder="1" applyAlignment="1">
      <alignment horizontal="center" vertical="top" wrapText="1"/>
    </xf>
    <xf numFmtId="0" fontId="2" fillId="2" borderId="4" xfId="0" applyFont="1" applyFill="1" applyBorder="1" applyAlignment="1">
      <alignment horizontal="center" vertical="top" wrapText="1"/>
    </xf>
    <xf numFmtId="164" fontId="2" fillId="2" borderId="3" xfId="0" applyNumberFormat="1" applyFont="1" applyFill="1" applyBorder="1" applyAlignment="1">
      <alignment horizontal="center" vertical="top" wrapText="1"/>
    </xf>
    <xf numFmtId="0" fontId="0" fillId="3" borderId="1" xfId="0" applyFill="1" applyBorder="1" applyAlignment="1" applyProtection="1">
      <alignment horizontal="center" vertical="top"/>
      <protection locked="0"/>
    </xf>
    <xf numFmtId="14" fontId="0" fillId="3" borderId="1" xfId="0" applyNumberFormat="1" applyFill="1" applyBorder="1" applyAlignment="1" applyProtection="1">
      <alignment horizontal="center" vertical="top"/>
      <protection locked="0"/>
    </xf>
    <xf numFmtId="0" fontId="2" fillId="3" borderId="5" xfId="0" applyFont="1" applyFill="1" applyBorder="1" applyAlignment="1" applyProtection="1">
      <alignment vertical="top" wrapText="1"/>
      <protection locked="0"/>
    </xf>
    <xf numFmtId="0" fontId="0" fillId="3" borderId="5" xfId="0" applyFill="1" applyBorder="1" applyAlignment="1" applyProtection="1">
      <alignment horizontal="center" vertical="top"/>
      <protection locked="0"/>
    </xf>
    <xf numFmtId="0" fontId="2" fillId="3" borderId="6" xfId="0" applyFont="1" applyFill="1" applyBorder="1" applyAlignment="1" applyProtection="1">
      <alignment vertical="top" wrapText="1"/>
      <protection locked="0"/>
    </xf>
    <xf numFmtId="0" fontId="0" fillId="3" borderId="6" xfId="0" applyFill="1" applyBorder="1" applyAlignment="1" applyProtection="1">
      <alignment horizontal="center" vertical="top"/>
      <protection locked="0"/>
    </xf>
    <xf numFmtId="164" fontId="2" fillId="2" borderId="7" xfId="0" applyNumberFormat="1" applyFont="1" applyFill="1" applyBorder="1" applyAlignment="1">
      <alignment horizontal="center" vertical="top" wrapText="1"/>
    </xf>
    <xf numFmtId="0" fontId="2" fillId="3" borderId="8" xfId="0" applyFont="1" applyFill="1" applyBorder="1" applyAlignment="1" applyProtection="1">
      <alignment horizontal="center" vertical="top"/>
      <protection locked="0"/>
    </xf>
    <xf numFmtId="0" fontId="6" fillId="3" borderId="9" xfId="0" applyFont="1" applyFill="1" applyBorder="1" applyAlignment="1" applyProtection="1">
      <alignment horizontal="center" vertical="top"/>
      <protection locked="0"/>
    </xf>
    <xf numFmtId="0" fontId="6" fillId="3" borderId="1" xfId="0" applyFont="1" applyFill="1" applyBorder="1" applyAlignment="1" applyProtection="1">
      <alignment horizontal="center" vertical="top"/>
      <protection locked="0"/>
    </xf>
    <xf numFmtId="0" fontId="6" fillId="3" borderId="1" xfId="0" applyFont="1" applyFill="1" applyBorder="1" applyAlignment="1" applyProtection="1">
      <alignment vertical="top" wrapText="1"/>
      <protection locked="0"/>
    </xf>
    <xf numFmtId="0" fontId="6" fillId="3" borderId="10" xfId="0" applyFont="1" applyFill="1" applyBorder="1" applyAlignment="1" applyProtection="1">
      <alignment horizontal="center" vertical="top"/>
      <protection locked="0"/>
    </xf>
    <xf numFmtId="0" fontId="6" fillId="0" borderId="0" xfId="0" applyFont="1" applyAlignment="1" applyProtection="1">
      <alignment vertical="top"/>
      <protection locked="0"/>
    </xf>
    <xf numFmtId="0" fontId="2" fillId="2" borderId="1" xfId="0" applyFont="1" applyFill="1" applyBorder="1" applyAlignment="1">
      <alignment horizontal="center"/>
    </xf>
    <xf numFmtId="0" fontId="15" fillId="0" borderId="0" xfId="0" applyFont="1" applyAlignment="1">
      <alignment horizontal="center" wrapText="1"/>
    </xf>
    <xf numFmtId="0" fontId="16" fillId="0" borderId="0" xfId="0" applyFont="1" applyAlignment="1">
      <alignment horizontal="center" vertical="top" wrapText="1"/>
    </xf>
    <xf numFmtId="0" fontId="15" fillId="0" borderId="0" xfId="0" applyFont="1" applyAlignment="1">
      <alignment wrapText="1"/>
    </xf>
    <xf numFmtId="0" fontId="16" fillId="0" borderId="0" xfId="0" applyFont="1" applyAlignment="1">
      <alignment wrapText="1"/>
    </xf>
    <xf numFmtId="0" fontId="17" fillId="0" borderId="0" xfId="1" applyFont="1" applyAlignment="1" applyProtection="1">
      <alignment wrapText="1"/>
    </xf>
    <xf numFmtId="0" fontId="15" fillId="0" borderId="0" xfId="0" applyFont="1" applyAlignment="1">
      <alignment horizontal="center" vertical="top" wrapText="1"/>
    </xf>
    <xf numFmtId="0" fontId="18" fillId="0" borderId="0" xfId="0" applyFont="1" applyAlignment="1">
      <alignment wrapText="1"/>
    </xf>
    <xf numFmtId="0" fontId="15" fillId="3" borderId="0" xfId="0" applyFont="1" applyFill="1" applyAlignment="1">
      <alignment wrapText="1"/>
    </xf>
    <xf numFmtId="0" fontId="19" fillId="0" borderId="0" xfId="0" applyFont="1"/>
    <xf numFmtId="0" fontId="10" fillId="0" borderId="0" xfId="0" applyFont="1"/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/>
    </xf>
    <xf numFmtId="0" fontId="9" fillId="3" borderId="1" xfId="0" applyFont="1" applyFill="1" applyBorder="1" applyAlignment="1" applyProtection="1">
      <alignment horizontal="center" vertical="top"/>
      <protection locked="0"/>
    </xf>
    <xf numFmtId="0" fontId="2" fillId="2" borderId="11" xfId="0" applyFont="1" applyFill="1" applyBorder="1" applyAlignment="1">
      <alignment horizontal="center"/>
    </xf>
    <xf numFmtId="0" fontId="2" fillId="2" borderId="15" xfId="0" applyFont="1" applyFill="1" applyBorder="1" applyAlignment="1">
      <alignment vertical="top" wrapText="1"/>
    </xf>
    <xf numFmtId="0" fontId="6" fillId="3" borderId="11" xfId="0" applyFont="1" applyFill="1" applyBorder="1" applyAlignment="1" applyProtection="1">
      <alignment vertical="top" wrapText="1"/>
      <protection locked="0"/>
    </xf>
    <xf numFmtId="0" fontId="2" fillId="3" borderId="14" xfId="0" applyFont="1" applyFill="1" applyBorder="1" applyAlignment="1" applyProtection="1">
      <alignment vertical="top" wrapText="1"/>
      <protection locked="0"/>
    </xf>
    <xf numFmtId="0" fontId="2" fillId="2" borderId="5" xfId="0" applyFont="1" applyFill="1" applyBorder="1" applyAlignment="1">
      <alignment vertical="top" wrapText="1"/>
    </xf>
    <xf numFmtId="0" fontId="2" fillId="2" borderId="13" xfId="0" applyFont="1" applyFill="1" applyBorder="1" applyAlignment="1">
      <alignment vertical="top" wrapText="1"/>
    </xf>
    <xf numFmtId="0" fontId="2" fillId="2" borderId="16" xfId="0" applyFont="1" applyFill="1" applyBorder="1" applyAlignment="1">
      <alignment horizontal="center" vertical="top"/>
    </xf>
    <xf numFmtId="0" fontId="2" fillId="2" borderId="17" xfId="0" applyFont="1" applyFill="1" applyBorder="1" applyAlignment="1">
      <alignment horizontal="center" vertical="top"/>
    </xf>
    <xf numFmtId="0" fontId="6" fillId="3" borderId="21" xfId="0" applyFont="1" applyFill="1" applyBorder="1" applyAlignment="1" applyProtection="1">
      <alignment horizontal="center" vertical="top"/>
      <protection locked="0"/>
    </xf>
    <xf numFmtId="0" fontId="9" fillId="3" borderId="6" xfId="0" applyFont="1" applyFill="1" applyBorder="1" applyAlignment="1" applyProtection="1">
      <alignment horizontal="center" vertical="top"/>
      <protection locked="0"/>
    </xf>
    <xf numFmtId="0" fontId="2" fillId="3" borderId="22" xfId="0" applyFont="1" applyFill="1" applyBorder="1" applyAlignment="1" applyProtection="1">
      <alignment horizontal="center" vertical="top"/>
      <protection locked="0"/>
    </xf>
    <xf numFmtId="0" fontId="13" fillId="3" borderId="1" xfId="0" applyFont="1" applyFill="1" applyBorder="1" applyAlignment="1">
      <alignment horizontal="center" vertical="center"/>
    </xf>
    <xf numFmtId="0" fontId="23" fillId="3" borderId="11" xfId="0" applyFont="1" applyFill="1" applyBorder="1" applyAlignment="1">
      <alignment horizontal="center" vertical="center"/>
    </xf>
    <xf numFmtId="0" fontId="24" fillId="3" borderId="11" xfId="0" applyFont="1" applyFill="1" applyBorder="1" applyAlignment="1">
      <alignment horizontal="center" vertical="center"/>
    </xf>
    <xf numFmtId="0" fontId="24" fillId="3" borderId="14" xfId="0" applyFont="1" applyFill="1" applyBorder="1" applyAlignment="1">
      <alignment horizontal="center" vertical="center"/>
    </xf>
    <xf numFmtId="0" fontId="23" fillId="3" borderId="14" xfId="0" applyFont="1" applyFill="1" applyBorder="1" applyAlignment="1">
      <alignment horizontal="center" vertical="center"/>
    </xf>
    <xf numFmtId="0" fontId="13" fillId="3" borderId="5" xfId="0" applyFont="1" applyFill="1" applyBorder="1" applyAlignment="1">
      <alignment horizontal="center" vertical="center"/>
    </xf>
    <xf numFmtId="0" fontId="22" fillId="3" borderId="23" xfId="0" applyFont="1" applyFill="1" applyBorder="1" applyAlignment="1">
      <alignment horizontal="center" vertical="center"/>
    </xf>
    <xf numFmtId="0" fontId="11" fillId="4" borderId="0" xfId="0" applyFont="1" applyFill="1" applyAlignment="1">
      <alignment horizontal="center" vertical="center" wrapText="1"/>
    </xf>
    <xf numFmtId="0" fontId="11" fillId="4" borderId="0" xfId="0" applyFont="1" applyFill="1"/>
    <xf numFmtId="0" fontId="11" fillId="4" borderId="0" xfId="0" applyFont="1" applyFill="1" applyAlignment="1">
      <alignment wrapText="1"/>
    </xf>
    <xf numFmtId="0" fontId="10" fillId="0" borderId="0" xfId="0" applyFont="1" applyAlignment="1">
      <alignment wrapText="1"/>
    </xf>
    <xf numFmtId="0" fontId="12" fillId="2" borderId="1" xfId="0" applyFont="1" applyFill="1" applyBorder="1" applyAlignment="1">
      <alignment horizontal="center" vertical="center" wrapText="1"/>
    </xf>
    <xf numFmtId="0" fontId="24" fillId="6" borderId="1" xfId="0" applyFont="1" applyFill="1" applyBorder="1" applyAlignment="1">
      <alignment horizontal="center" vertical="center" wrapText="1"/>
    </xf>
    <xf numFmtId="0" fontId="24" fillId="6" borderId="5" xfId="0" applyFont="1" applyFill="1" applyBorder="1" applyAlignment="1">
      <alignment horizontal="center" vertical="center" wrapText="1"/>
    </xf>
    <xf numFmtId="0" fontId="14" fillId="5" borderId="24" xfId="0" applyFont="1" applyFill="1" applyBorder="1" applyAlignment="1">
      <alignment horizontal="center" vertical="center"/>
    </xf>
    <xf numFmtId="0" fontId="14" fillId="5" borderId="17" xfId="0" applyFont="1" applyFill="1" applyBorder="1" applyAlignment="1">
      <alignment horizontal="center" vertical="center" wrapText="1"/>
    </xf>
    <xf numFmtId="0" fontId="14" fillId="5" borderId="17" xfId="0" applyFont="1" applyFill="1" applyBorder="1" applyAlignment="1">
      <alignment horizontal="center" vertical="center"/>
    </xf>
    <xf numFmtId="0" fontId="21" fillId="5" borderId="17" xfId="0" applyFont="1" applyFill="1" applyBorder="1" applyAlignment="1">
      <alignment horizontal="center" vertical="center"/>
    </xf>
    <xf numFmtId="0" fontId="13" fillId="3" borderId="0" xfId="0" applyFont="1" applyFill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25" fillId="7" borderId="1" xfId="2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left" vertical="center" wrapText="1"/>
    </xf>
    <xf numFmtId="0" fontId="12" fillId="7" borderId="0" xfId="0" applyFont="1" applyFill="1" applyAlignment="1">
      <alignment horizontal="left"/>
    </xf>
    <xf numFmtId="0" fontId="1" fillId="7" borderId="1" xfId="2" applyFill="1" applyBorder="1"/>
    <xf numFmtId="0" fontId="1" fillId="7" borderId="1" xfId="2" applyFill="1" applyBorder="1" applyAlignment="1">
      <alignment wrapText="1"/>
    </xf>
    <xf numFmtId="0" fontId="0" fillId="7" borderId="1" xfId="0" applyFill="1" applyBorder="1"/>
    <xf numFmtId="0" fontId="0" fillId="7" borderId="1" xfId="0" applyFill="1" applyBorder="1" applyAlignment="1">
      <alignment horizontal="center"/>
    </xf>
    <xf numFmtId="0" fontId="10" fillId="7" borderId="0" xfId="0" applyFont="1" applyFill="1" applyAlignment="1">
      <alignment horizontal="center" vertical="top"/>
    </xf>
    <xf numFmtId="0" fontId="20" fillId="4" borderId="0" xfId="0" applyFont="1" applyFill="1" applyAlignment="1">
      <alignment horizontal="center" vertical="center" wrapText="1"/>
    </xf>
    <xf numFmtId="0" fontId="15" fillId="0" borderId="0" xfId="0" applyFont="1" applyAlignment="1">
      <alignment horizontal="center" wrapText="1"/>
    </xf>
    <xf numFmtId="0" fontId="7" fillId="4" borderId="0" xfId="0" applyFont="1" applyFill="1" applyAlignment="1">
      <alignment horizontal="center" vertical="center" wrapText="1"/>
    </xf>
    <xf numFmtId="0" fontId="2" fillId="3" borderId="11" xfId="0" applyFont="1" applyFill="1" applyBorder="1" applyAlignment="1">
      <alignment horizontal="left" vertical="top"/>
    </xf>
    <xf numFmtId="0" fontId="2" fillId="3" borderId="12" xfId="0" applyFont="1" applyFill="1" applyBorder="1" applyAlignment="1">
      <alignment horizontal="left" vertical="top"/>
    </xf>
    <xf numFmtId="0" fontId="2" fillId="3" borderId="10" xfId="0" applyFont="1" applyFill="1" applyBorder="1" applyAlignment="1">
      <alignment horizontal="left" vertical="top"/>
    </xf>
    <xf numFmtId="0" fontId="2" fillId="2" borderId="18" xfId="0" applyFont="1" applyFill="1" applyBorder="1" applyAlignment="1">
      <alignment horizontal="center" vertical="top"/>
    </xf>
    <xf numFmtId="0" fontId="2" fillId="2" borderId="19" xfId="0" applyFont="1" applyFill="1" applyBorder="1" applyAlignment="1">
      <alignment horizontal="center" vertical="top"/>
    </xf>
    <xf numFmtId="0" fontId="2" fillId="2" borderId="20" xfId="0" applyFont="1" applyFill="1" applyBorder="1" applyAlignment="1">
      <alignment horizontal="center" vertical="top"/>
    </xf>
    <xf numFmtId="0" fontId="2" fillId="0" borderId="5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10" fillId="7" borderId="0" xfId="0" applyFont="1" applyFill="1" applyAlignment="1">
      <alignment horizontal="center"/>
    </xf>
  </cellXfs>
  <cellStyles count="3">
    <cellStyle name="Hyperlink" xfId="1" builtinId="8"/>
    <cellStyle name="Normal" xfId="0" builtinId="0"/>
    <cellStyle name="Normal 2" xfId="2" xr:uid="{EDD5E1EE-BDB2-418C-B227-F316B8469D5D}"/>
  </cellStyles>
  <dxfs count="27">
    <dxf>
      <font>
        <condense val="0"/>
        <extend val="0"/>
        <color indexed="10"/>
      </font>
    </dxf>
    <dxf>
      <font>
        <condense val="0"/>
        <extend val="0"/>
        <color indexed="57"/>
      </font>
    </dxf>
    <dxf>
      <font>
        <condense val="0"/>
        <extend val="0"/>
        <color indexed="10"/>
      </font>
    </dxf>
    <dxf>
      <font>
        <condense val="0"/>
        <extend val="0"/>
        <color indexed="57"/>
      </font>
    </dxf>
    <dxf>
      <font>
        <condense val="0"/>
        <extend val="0"/>
        <color indexed="10"/>
      </font>
    </dxf>
    <dxf>
      <font>
        <condense val="0"/>
        <extend val="0"/>
        <color indexed="57"/>
      </font>
    </dxf>
    <dxf>
      <font>
        <condense val="0"/>
        <extend val="0"/>
        <color indexed="10"/>
      </font>
    </dxf>
    <dxf>
      <font>
        <condense val="0"/>
        <extend val="0"/>
        <color indexed="57"/>
      </font>
    </dxf>
    <dxf>
      <font>
        <condense val="0"/>
        <extend val="0"/>
        <color indexed="10"/>
      </font>
    </dxf>
    <dxf>
      <font>
        <condense val="0"/>
        <extend val="0"/>
        <color indexed="57"/>
      </font>
    </dxf>
    <dxf>
      <font>
        <condense val="0"/>
        <extend val="0"/>
        <color indexed="10"/>
      </font>
    </dxf>
    <dxf>
      <font>
        <condense val="0"/>
        <extend val="0"/>
        <color indexed="57"/>
      </font>
    </dxf>
    <dxf>
      <font>
        <condense val="0"/>
        <extend val="0"/>
        <color indexed="10"/>
      </font>
    </dxf>
    <dxf>
      <font>
        <condense val="0"/>
        <extend val="0"/>
        <color indexed="57"/>
      </font>
    </dxf>
    <dxf>
      <font>
        <condense val="0"/>
        <extend val="0"/>
        <color indexed="10"/>
      </font>
    </dxf>
    <dxf>
      <font>
        <condense val="0"/>
        <extend val="0"/>
        <color indexed="57"/>
      </font>
    </dxf>
    <dxf>
      <font>
        <i/>
        <sz val="12"/>
        <name val="Times New Roman"/>
      </font>
      <fill>
        <patternFill patternType="solid">
          <fgColor indexed="64"/>
          <bgColor indexed="4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indexed="4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indexed="4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fill>
        <patternFill patternType="solid">
          <fgColor indexed="64"/>
          <bgColor indexed="4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fill>
        <patternFill patternType="solid">
          <fgColor rgb="FF000000"/>
          <bgColor rgb="FFCC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fill>
        <patternFill patternType="solid">
          <fgColor rgb="FF000000"/>
          <bgColor rgb="FFCC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fill>
        <patternFill patternType="solid">
          <fgColor indexed="64"/>
          <bgColor indexed="4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indexed="41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1" tint="0.49998474074526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Burndown Chart </a:t>
            </a:r>
          </a:p>
        </c:rich>
      </c:tx>
      <c:layout>
        <c:manualLayout>
          <c:xMode val="edge"/>
          <c:yMode val="edge"/>
          <c:x val="0.40353269043616735"/>
          <c:y val="4.289547139940840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375100372727382"/>
          <c:y val="0.16895841228402597"/>
          <c:w val="0.88043536671206712"/>
          <c:h val="0.66219925828279247"/>
        </c:manualLayout>
      </c:layout>
      <c:lineChart>
        <c:grouping val="standard"/>
        <c:varyColors val="0"/>
        <c:ser>
          <c:idx val="0"/>
          <c:order val="0"/>
          <c:spPr>
            <a:ln w="12700">
              <a:solidFill>
                <a:srgbClr val="00009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90"/>
              </a:solidFill>
              <a:ln>
                <a:solidFill>
                  <a:srgbClr val="000090"/>
                </a:solidFill>
                <a:prstDash val="solid"/>
              </a:ln>
            </c:spPr>
          </c:marker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2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'Sprint 0'!$F$20:$L$20</c:f>
              <c:numCache>
                <c:formatCode>General</c:formatCode>
                <c:ptCount val="7"/>
                <c:pt idx="0">
                  <c:v>#N/A</c:v>
                </c:pt>
                <c:pt idx="1">
                  <c:v>16</c:v>
                </c:pt>
                <c:pt idx="2">
                  <c:v>#N/A</c:v>
                </c:pt>
                <c:pt idx="3">
                  <c:v>9</c:v>
                </c:pt>
                <c:pt idx="4">
                  <c:v>6</c:v>
                </c:pt>
                <c:pt idx="5">
                  <c:v>5</c:v>
                </c:pt>
                <c:pt idx="6">
                  <c:v>#N/A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5A1-4C18-A971-9C38F0E96954}"/>
            </c:ext>
          </c:extLst>
        </c:ser>
        <c:ser>
          <c:idx val="1"/>
          <c:order val="1"/>
          <c:spPr>
            <a:ln w="12700">
              <a:solidFill>
                <a:srgbClr val="F20884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20884"/>
              </a:solidFill>
              <a:ln>
                <a:solidFill>
                  <a:srgbClr val="F20884"/>
                </a:solidFill>
                <a:prstDash val="solid"/>
              </a:ln>
              <a:effectLst>
                <a:outerShdw dist="35921" dir="2700000" algn="br">
                  <a:srgbClr val="000000"/>
                </a:outerShdw>
              </a:effectLst>
            </c:spPr>
          </c:marker>
          <c:val>
            <c:numRef>
              <c:f>'Sprint 0'!$F$21:$L$21</c:f>
              <c:numCache>
                <c:formatCode>0.0</c:formatCode>
                <c:ptCount val="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5A1-4C18-A971-9C38F0E969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8933120"/>
        <c:axId val="646860736"/>
      </c:lineChart>
      <c:catAx>
        <c:axId val="2289331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Days</a:t>
                </a:r>
              </a:p>
            </c:rich>
          </c:tx>
          <c:layout>
            <c:manualLayout>
              <c:xMode val="edge"/>
              <c:yMode val="edge"/>
              <c:x val="0.51358724822318558"/>
              <c:y val="0.9142101681734228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46860736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6468607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Remaining Scrum units</a:t>
                </a:r>
              </a:p>
            </c:rich>
          </c:tx>
          <c:layout>
            <c:manualLayout>
              <c:xMode val="edge"/>
              <c:yMode val="edge"/>
              <c:x val="2.4456486478516028E-2"/>
              <c:y val="0.2815017567248538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28933120"/>
        <c:crosses val="autoZero"/>
        <c:crossBetween val="between"/>
      </c:valAx>
      <c:spPr>
        <a:gradFill rotWithShape="0">
          <a:gsLst>
            <a:gs pos="0">
              <a:srgbClr val="FFFFEF"/>
            </a:gs>
            <a:gs pos="100000">
              <a:srgbClr val="FFFF99"/>
            </a:gs>
          </a:gsLst>
          <a:lin ang="5400000" scaled="1"/>
        </a:gradFill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0380527525950052"/>
          <c:y val="0.30481273174186557"/>
          <c:w val="0.13580642307352031"/>
          <c:h val="0.17067033287505728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Burndown Chart </a:t>
            </a:r>
          </a:p>
        </c:rich>
      </c:tx>
      <c:layout>
        <c:manualLayout>
          <c:xMode val="edge"/>
          <c:yMode val="edge"/>
          <c:x val="0.40353269043616735"/>
          <c:y val="4.289547139940840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375100372727382"/>
          <c:y val="0.16895841228402597"/>
          <c:w val="0.88043536671206712"/>
          <c:h val="0.66219925828279247"/>
        </c:manualLayout>
      </c:layout>
      <c:lineChart>
        <c:grouping val="standard"/>
        <c:varyColors val="0"/>
        <c:ser>
          <c:idx val="0"/>
          <c:order val="0"/>
          <c:spPr>
            <a:ln w="12700">
              <a:solidFill>
                <a:srgbClr val="00009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90"/>
              </a:solidFill>
              <a:ln>
                <a:solidFill>
                  <a:srgbClr val="000090"/>
                </a:solidFill>
                <a:prstDash val="solid"/>
              </a:ln>
            </c:spPr>
          </c:marker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2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'Sprint 1'!$F$20:$L$20</c:f>
              <c:numCache>
                <c:formatCode>General</c:formatCode>
                <c:ptCount val="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50B-4ECC-B6AB-89615EAC8329}"/>
            </c:ext>
          </c:extLst>
        </c:ser>
        <c:ser>
          <c:idx val="1"/>
          <c:order val="1"/>
          <c:spPr>
            <a:ln w="12700">
              <a:solidFill>
                <a:srgbClr val="F20884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20884"/>
              </a:solidFill>
              <a:ln>
                <a:solidFill>
                  <a:srgbClr val="F20884"/>
                </a:solidFill>
                <a:prstDash val="solid"/>
              </a:ln>
              <a:effectLst>
                <a:outerShdw dist="35921" dir="2700000" algn="br">
                  <a:srgbClr val="000000"/>
                </a:outerShdw>
              </a:effectLst>
            </c:spPr>
          </c:marker>
          <c:val>
            <c:numRef>
              <c:f>'Sprint 1'!$F$21:$L$21</c:f>
              <c:numCache>
                <c:formatCode>0.0</c:formatCode>
                <c:ptCount val="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50B-4ECC-B6AB-89615EAC83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8933120"/>
        <c:axId val="646860736"/>
      </c:lineChart>
      <c:catAx>
        <c:axId val="2289331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Days</a:t>
                </a:r>
              </a:p>
            </c:rich>
          </c:tx>
          <c:layout>
            <c:manualLayout>
              <c:xMode val="edge"/>
              <c:yMode val="edge"/>
              <c:x val="0.51358724822318558"/>
              <c:y val="0.9142101681734228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46860736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6468607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Remaining Scrum units</a:t>
                </a:r>
              </a:p>
            </c:rich>
          </c:tx>
          <c:layout>
            <c:manualLayout>
              <c:xMode val="edge"/>
              <c:yMode val="edge"/>
              <c:x val="2.4456486478516028E-2"/>
              <c:y val="0.2815017567248538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28933120"/>
        <c:crosses val="autoZero"/>
        <c:crossBetween val="between"/>
      </c:valAx>
      <c:spPr>
        <a:gradFill rotWithShape="0">
          <a:gsLst>
            <a:gs pos="0">
              <a:srgbClr val="FFFFEF"/>
            </a:gs>
            <a:gs pos="100000">
              <a:srgbClr val="FFFF99"/>
            </a:gs>
          </a:gsLst>
          <a:lin ang="5400000" scaled="1"/>
        </a:gradFill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0380527525950052"/>
          <c:y val="0.30481273174186557"/>
          <c:w val="0.13580642307352031"/>
          <c:h val="0.17067033287505728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Burndown Chart </a:t>
            </a:r>
          </a:p>
        </c:rich>
      </c:tx>
      <c:layout>
        <c:manualLayout>
          <c:xMode val="edge"/>
          <c:yMode val="edge"/>
          <c:x val="0.40353269043616735"/>
          <c:y val="4.289547139940840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375100372727382"/>
          <c:y val="0.16895841228402597"/>
          <c:w val="0.88043536671206712"/>
          <c:h val="0.66219925828279247"/>
        </c:manualLayout>
      </c:layout>
      <c:lineChart>
        <c:grouping val="standard"/>
        <c:varyColors val="0"/>
        <c:ser>
          <c:idx val="0"/>
          <c:order val="0"/>
          <c:spPr>
            <a:ln w="12700">
              <a:solidFill>
                <a:srgbClr val="00009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90"/>
              </a:solidFill>
              <a:ln>
                <a:solidFill>
                  <a:srgbClr val="000090"/>
                </a:solidFill>
                <a:prstDash val="solid"/>
              </a:ln>
            </c:spPr>
          </c:marker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2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'Sprint 2'!$F$20:$L$20</c:f>
              <c:numCache>
                <c:formatCode>General</c:formatCode>
                <c:ptCount val="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E6D-40DF-95A1-9ADAD4B97CF7}"/>
            </c:ext>
          </c:extLst>
        </c:ser>
        <c:ser>
          <c:idx val="1"/>
          <c:order val="1"/>
          <c:spPr>
            <a:ln w="12700">
              <a:solidFill>
                <a:srgbClr val="F20884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20884"/>
              </a:solidFill>
              <a:ln>
                <a:solidFill>
                  <a:srgbClr val="F20884"/>
                </a:solidFill>
                <a:prstDash val="solid"/>
              </a:ln>
              <a:effectLst>
                <a:outerShdw dist="35921" dir="2700000" algn="br">
                  <a:srgbClr val="000000"/>
                </a:outerShdw>
              </a:effectLst>
            </c:spPr>
          </c:marker>
          <c:val>
            <c:numRef>
              <c:f>'Sprint 2'!$F$21:$L$21</c:f>
              <c:numCache>
                <c:formatCode>0.0</c:formatCode>
                <c:ptCount val="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E6D-40DF-95A1-9ADAD4B97C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8933120"/>
        <c:axId val="646860736"/>
      </c:lineChart>
      <c:catAx>
        <c:axId val="2289331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Days</a:t>
                </a:r>
              </a:p>
            </c:rich>
          </c:tx>
          <c:layout>
            <c:manualLayout>
              <c:xMode val="edge"/>
              <c:yMode val="edge"/>
              <c:x val="0.51358724822318558"/>
              <c:y val="0.9142101681734228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46860736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6468607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Remaining Scrum units</a:t>
                </a:r>
              </a:p>
            </c:rich>
          </c:tx>
          <c:layout>
            <c:manualLayout>
              <c:xMode val="edge"/>
              <c:yMode val="edge"/>
              <c:x val="2.4456486478516028E-2"/>
              <c:y val="0.2815017567248538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28933120"/>
        <c:crosses val="autoZero"/>
        <c:crossBetween val="between"/>
      </c:valAx>
      <c:spPr>
        <a:gradFill rotWithShape="0">
          <a:gsLst>
            <a:gs pos="0">
              <a:srgbClr val="FFFFEF"/>
            </a:gs>
            <a:gs pos="100000">
              <a:srgbClr val="FFFF99"/>
            </a:gs>
          </a:gsLst>
          <a:lin ang="5400000" scaled="1"/>
        </a:gradFill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0380527525950052"/>
          <c:y val="0.30481273174186557"/>
          <c:w val="0.13580642307352031"/>
          <c:h val="0.17067033287505728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Burndown Chart </a:t>
            </a:r>
          </a:p>
        </c:rich>
      </c:tx>
      <c:layout>
        <c:manualLayout>
          <c:xMode val="edge"/>
          <c:yMode val="edge"/>
          <c:x val="0.40353269043616735"/>
          <c:y val="4.289547139940840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375100372727382"/>
          <c:y val="0.16895841228402597"/>
          <c:w val="0.88043536671206712"/>
          <c:h val="0.66219925828279247"/>
        </c:manualLayout>
      </c:layout>
      <c:lineChart>
        <c:grouping val="standard"/>
        <c:varyColors val="0"/>
        <c:ser>
          <c:idx val="0"/>
          <c:order val="0"/>
          <c:spPr>
            <a:ln w="12700">
              <a:solidFill>
                <a:srgbClr val="00009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90"/>
              </a:solidFill>
              <a:ln>
                <a:solidFill>
                  <a:srgbClr val="000090"/>
                </a:solidFill>
                <a:prstDash val="solid"/>
              </a:ln>
            </c:spPr>
          </c:marker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2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'Sprint 3'!$F$20:$L$20</c:f>
              <c:numCache>
                <c:formatCode>General</c:formatCode>
                <c:ptCount val="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DF5-4E5C-BC64-23FA365BEF7C}"/>
            </c:ext>
          </c:extLst>
        </c:ser>
        <c:ser>
          <c:idx val="1"/>
          <c:order val="1"/>
          <c:spPr>
            <a:ln w="12700">
              <a:solidFill>
                <a:srgbClr val="F20884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20884"/>
              </a:solidFill>
              <a:ln>
                <a:solidFill>
                  <a:srgbClr val="F20884"/>
                </a:solidFill>
                <a:prstDash val="solid"/>
              </a:ln>
              <a:effectLst>
                <a:outerShdw dist="35921" dir="2700000" algn="br">
                  <a:srgbClr val="000000"/>
                </a:outerShdw>
              </a:effectLst>
            </c:spPr>
          </c:marker>
          <c:val>
            <c:numRef>
              <c:f>'Sprint 3'!$F$21:$L$21</c:f>
              <c:numCache>
                <c:formatCode>0.0</c:formatCode>
                <c:ptCount val="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DF5-4E5C-BC64-23FA365BEF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8933120"/>
        <c:axId val="646860736"/>
      </c:lineChart>
      <c:catAx>
        <c:axId val="2289331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Days</a:t>
                </a:r>
              </a:p>
            </c:rich>
          </c:tx>
          <c:layout>
            <c:manualLayout>
              <c:xMode val="edge"/>
              <c:yMode val="edge"/>
              <c:x val="0.51358724822318558"/>
              <c:y val="0.9142101681734228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46860736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6468607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Remaining Scrum units</a:t>
                </a:r>
              </a:p>
            </c:rich>
          </c:tx>
          <c:layout>
            <c:manualLayout>
              <c:xMode val="edge"/>
              <c:yMode val="edge"/>
              <c:x val="2.4456486478516028E-2"/>
              <c:y val="0.2815017567248538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28933120"/>
        <c:crosses val="autoZero"/>
        <c:crossBetween val="between"/>
      </c:valAx>
      <c:spPr>
        <a:gradFill rotWithShape="0">
          <a:gsLst>
            <a:gs pos="0">
              <a:srgbClr val="FFFFEF"/>
            </a:gs>
            <a:gs pos="100000">
              <a:srgbClr val="FFFF99"/>
            </a:gs>
          </a:gsLst>
          <a:lin ang="5400000" scaled="1"/>
        </a:gradFill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0380527525950052"/>
          <c:y val="0.30481273174186557"/>
          <c:w val="0.13580642307352031"/>
          <c:h val="0.17067033287505728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Burndown Chart </a:t>
            </a:r>
          </a:p>
        </c:rich>
      </c:tx>
      <c:layout>
        <c:manualLayout>
          <c:xMode val="edge"/>
          <c:yMode val="edge"/>
          <c:x val="0.40353269043616735"/>
          <c:y val="4.289547139940840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375100372727382"/>
          <c:y val="0.16895841228402597"/>
          <c:w val="0.88043536671206712"/>
          <c:h val="0.66219925828279247"/>
        </c:manualLayout>
      </c:layout>
      <c:lineChart>
        <c:grouping val="standard"/>
        <c:varyColors val="0"/>
        <c:ser>
          <c:idx val="0"/>
          <c:order val="0"/>
          <c:spPr>
            <a:ln w="12700">
              <a:solidFill>
                <a:srgbClr val="00009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90"/>
              </a:solidFill>
              <a:ln>
                <a:solidFill>
                  <a:srgbClr val="000090"/>
                </a:solidFill>
                <a:prstDash val="solid"/>
              </a:ln>
            </c:spPr>
          </c:marker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2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'Sprint 4'!$F$20:$L$20</c:f>
              <c:numCache>
                <c:formatCode>General</c:formatCode>
                <c:ptCount val="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8CC-434C-9433-EFF48435C2E4}"/>
            </c:ext>
          </c:extLst>
        </c:ser>
        <c:ser>
          <c:idx val="1"/>
          <c:order val="1"/>
          <c:spPr>
            <a:ln w="12700">
              <a:solidFill>
                <a:srgbClr val="F20884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20884"/>
              </a:solidFill>
              <a:ln>
                <a:solidFill>
                  <a:srgbClr val="F20884"/>
                </a:solidFill>
                <a:prstDash val="solid"/>
              </a:ln>
              <a:effectLst>
                <a:outerShdw dist="35921" dir="2700000" algn="br">
                  <a:srgbClr val="000000"/>
                </a:outerShdw>
              </a:effectLst>
            </c:spPr>
          </c:marker>
          <c:val>
            <c:numRef>
              <c:f>'Sprint 4'!$F$21:$L$21</c:f>
              <c:numCache>
                <c:formatCode>0.0</c:formatCode>
                <c:ptCount val="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8CC-434C-9433-EFF48435C2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8933120"/>
        <c:axId val="646860736"/>
      </c:lineChart>
      <c:catAx>
        <c:axId val="2289331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Days</a:t>
                </a:r>
              </a:p>
            </c:rich>
          </c:tx>
          <c:layout>
            <c:manualLayout>
              <c:xMode val="edge"/>
              <c:yMode val="edge"/>
              <c:x val="0.51358724822318558"/>
              <c:y val="0.9142101681734228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46860736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6468607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Remaining Scrum units</a:t>
                </a:r>
              </a:p>
            </c:rich>
          </c:tx>
          <c:layout>
            <c:manualLayout>
              <c:xMode val="edge"/>
              <c:yMode val="edge"/>
              <c:x val="2.4456486478516028E-2"/>
              <c:y val="0.2815017567248538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28933120"/>
        <c:crosses val="autoZero"/>
        <c:crossBetween val="between"/>
      </c:valAx>
      <c:spPr>
        <a:gradFill rotWithShape="0">
          <a:gsLst>
            <a:gs pos="0">
              <a:srgbClr val="FFFFEF"/>
            </a:gs>
            <a:gs pos="100000">
              <a:srgbClr val="FFFF99"/>
            </a:gs>
          </a:gsLst>
          <a:lin ang="5400000" scaled="1"/>
        </a:gradFill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0380527525950052"/>
          <c:y val="0.30481273174186557"/>
          <c:w val="0.13580642307352031"/>
          <c:h val="0.17067033287505728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Burndown Chart </a:t>
            </a:r>
          </a:p>
        </c:rich>
      </c:tx>
      <c:layout>
        <c:manualLayout>
          <c:xMode val="edge"/>
          <c:yMode val="edge"/>
          <c:x val="0.40353269043616735"/>
          <c:y val="4.289547139940840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375100372727382"/>
          <c:y val="0.16895841228402597"/>
          <c:w val="0.88043536671206712"/>
          <c:h val="0.66219925828279247"/>
        </c:manualLayout>
      </c:layout>
      <c:lineChart>
        <c:grouping val="standard"/>
        <c:varyColors val="0"/>
        <c:ser>
          <c:idx val="0"/>
          <c:order val="0"/>
          <c:spPr>
            <a:ln w="12700">
              <a:solidFill>
                <a:srgbClr val="00009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90"/>
              </a:solidFill>
              <a:ln>
                <a:solidFill>
                  <a:srgbClr val="000090"/>
                </a:solidFill>
                <a:prstDash val="solid"/>
              </a:ln>
            </c:spPr>
          </c:marker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2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'Sprint 5'!$F$20:$L$20</c:f>
              <c:numCache>
                <c:formatCode>General</c:formatCode>
                <c:ptCount val="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A88-48D8-BC8F-71EE9C3A3190}"/>
            </c:ext>
          </c:extLst>
        </c:ser>
        <c:ser>
          <c:idx val="1"/>
          <c:order val="1"/>
          <c:spPr>
            <a:ln w="12700">
              <a:solidFill>
                <a:srgbClr val="F20884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20884"/>
              </a:solidFill>
              <a:ln>
                <a:solidFill>
                  <a:srgbClr val="F20884"/>
                </a:solidFill>
                <a:prstDash val="solid"/>
              </a:ln>
              <a:effectLst>
                <a:outerShdw dist="35921" dir="2700000" algn="br">
                  <a:srgbClr val="000000"/>
                </a:outerShdw>
              </a:effectLst>
            </c:spPr>
          </c:marker>
          <c:val>
            <c:numRef>
              <c:f>'Sprint 5'!$F$21:$L$21</c:f>
              <c:numCache>
                <c:formatCode>0.0</c:formatCode>
                <c:ptCount val="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A88-48D8-BC8F-71EE9C3A31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8933120"/>
        <c:axId val="646860736"/>
      </c:lineChart>
      <c:catAx>
        <c:axId val="2289331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Days</a:t>
                </a:r>
              </a:p>
            </c:rich>
          </c:tx>
          <c:layout>
            <c:manualLayout>
              <c:xMode val="edge"/>
              <c:yMode val="edge"/>
              <c:x val="0.51358724822318558"/>
              <c:y val="0.9142101681734228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46860736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6468607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Remaining Scrum units</a:t>
                </a:r>
              </a:p>
            </c:rich>
          </c:tx>
          <c:layout>
            <c:manualLayout>
              <c:xMode val="edge"/>
              <c:yMode val="edge"/>
              <c:x val="2.4456486478516028E-2"/>
              <c:y val="0.2815017567248538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28933120"/>
        <c:crosses val="autoZero"/>
        <c:crossBetween val="between"/>
      </c:valAx>
      <c:spPr>
        <a:gradFill rotWithShape="0">
          <a:gsLst>
            <a:gs pos="0">
              <a:srgbClr val="FFFFEF"/>
            </a:gs>
            <a:gs pos="100000">
              <a:srgbClr val="FFFF99"/>
            </a:gs>
          </a:gsLst>
          <a:lin ang="5400000" scaled="1"/>
        </a:gradFill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0380527525950052"/>
          <c:y val="0.30481273174186557"/>
          <c:w val="0.13580642307352031"/>
          <c:h val="0.17067033287505728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Burndown Chart </a:t>
            </a:r>
          </a:p>
        </c:rich>
      </c:tx>
      <c:layout>
        <c:manualLayout>
          <c:xMode val="edge"/>
          <c:yMode val="edge"/>
          <c:x val="0.40353269043616735"/>
          <c:y val="4.289547139940840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375100372727382"/>
          <c:y val="0.16895841228402597"/>
          <c:w val="0.88043536671206712"/>
          <c:h val="0.66219925828279247"/>
        </c:manualLayout>
      </c:layout>
      <c:lineChart>
        <c:grouping val="standard"/>
        <c:varyColors val="0"/>
        <c:ser>
          <c:idx val="0"/>
          <c:order val="0"/>
          <c:spPr>
            <a:ln w="12700">
              <a:solidFill>
                <a:srgbClr val="00009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90"/>
              </a:solidFill>
              <a:ln>
                <a:solidFill>
                  <a:srgbClr val="000090"/>
                </a:solidFill>
                <a:prstDash val="solid"/>
              </a:ln>
            </c:spPr>
          </c:marker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2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'Sprint 6'!$F$20:$L$20</c:f>
              <c:numCache>
                <c:formatCode>General</c:formatCode>
                <c:ptCount val="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5C9-440D-B2FC-E798D863A4EB}"/>
            </c:ext>
          </c:extLst>
        </c:ser>
        <c:ser>
          <c:idx val="1"/>
          <c:order val="1"/>
          <c:spPr>
            <a:ln w="12700">
              <a:solidFill>
                <a:srgbClr val="F20884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20884"/>
              </a:solidFill>
              <a:ln>
                <a:solidFill>
                  <a:srgbClr val="F20884"/>
                </a:solidFill>
                <a:prstDash val="solid"/>
              </a:ln>
              <a:effectLst>
                <a:outerShdw dist="35921" dir="2700000" algn="br">
                  <a:srgbClr val="000000"/>
                </a:outerShdw>
              </a:effectLst>
            </c:spPr>
          </c:marker>
          <c:val>
            <c:numRef>
              <c:f>'Sprint 6'!$F$21:$L$21</c:f>
              <c:numCache>
                <c:formatCode>0.0</c:formatCode>
                <c:ptCount val="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5C9-440D-B2FC-E798D863A4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8933120"/>
        <c:axId val="646860736"/>
      </c:lineChart>
      <c:catAx>
        <c:axId val="2289331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Days</a:t>
                </a:r>
              </a:p>
            </c:rich>
          </c:tx>
          <c:layout>
            <c:manualLayout>
              <c:xMode val="edge"/>
              <c:yMode val="edge"/>
              <c:x val="0.51358724822318558"/>
              <c:y val="0.9142101681734228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46860736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6468607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Remaining Scrum units</a:t>
                </a:r>
              </a:p>
            </c:rich>
          </c:tx>
          <c:layout>
            <c:manualLayout>
              <c:xMode val="edge"/>
              <c:yMode val="edge"/>
              <c:x val="2.4456486478516028E-2"/>
              <c:y val="0.2815017567248538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28933120"/>
        <c:crosses val="autoZero"/>
        <c:crossBetween val="between"/>
      </c:valAx>
      <c:spPr>
        <a:gradFill rotWithShape="0">
          <a:gsLst>
            <a:gs pos="0">
              <a:srgbClr val="FFFFEF"/>
            </a:gs>
            <a:gs pos="100000">
              <a:srgbClr val="FFFF99"/>
            </a:gs>
          </a:gsLst>
          <a:lin ang="5400000" scaled="1"/>
        </a:gradFill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0380527525950052"/>
          <c:y val="0.30481273174186557"/>
          <c:w val="0.13580642307352031"/>
          <c:h val="0.17067033287505728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Burndown Chart </a:t>
            </a:r>
          </a:p>
        </c:rich>
      </c:tx>
      <c:layout>
        <c:manualLayout>
          <c:xMode val="edge"/>
          <c:yMode val="edge"/>
          <c:x val="0.40353269043616735"/>
          <c:y val="4.289547139940840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375100372727382"/>
          <c:y val="0.16895841228402597"/>
          <c:w val="0.88043536671206712"/>
          <c:h val="0.66219925828279247"/>
        </c:manualLayout>
      </c:layout>
      <c:lineChart>
        <c:grouping val="standard"/>
        <c:varyColors val="0"/>
        <c:ser>
          <c:idx val="0"/>
          <c:order val="0"/>
          <c:spPr>
            <a:ln w="12700">
              <a:solidFill>
                <a:srgbClr val="00009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90"/>
              </a:solidFill>
              <a:ln>
                <a:solidFill>
                  <a:srgbClr val="000090"/>
                </a:solidFill>
                <a:prstDash val="solid"/>
              </a:ln>
            </c:spPr>
          </c:marker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2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'Sprint 7'!$F$20:$L$20</c:f>
              <c:numCache>
                <c:formatCode>General</c:formatCode>
                <c:ptCount val="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DC3-4B50-8CB2-C49569CFD0B3}"/>
            </c:ext>
          </c:extLst>
        </c:ser>
        <c:ser>
          <c:idx val="1"/>
          <c:order val="1"/>
          <c:spPr>
            <a:ln w="12700">
              <a:solidFill>
                <a:srgbClr val="F20884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20884"/>
              </a:solidFill>
              <a:ln>
                <a:solidFill>
                  <a:srgbClr val="F20884"/>
                </a:solidFill>
                <a:prstDash val="solid"/>
              </a:ln>
              <a:effectLst>
                <a:outerShdw dist="35921" dir="2700000" algn="br">
                  <a:srgbClr val="000000"/>
                </a:outerShdw>
              </a:effectLst>
            </c:spPr>
          </c:marker>
          <c:val>
            <c:numRef>
              <c:f>'Sprint 7'!$F$21:$L$21</c:f>
              <c:numCache>
                <c:formatCode>0.0</c:formatCode>
                <c:ptCount val="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DC3-4B50-8CB2-C49569CFD0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8933120"/>
        <c:axId val="646860736"/>
      </c:lineChart>
      <c:catAx>
        <c:axId val="2289331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Days</a:t>
                </a:r>
              </a:p>
            </c:rich>
          </c:tx>
          <c:layout>
            <c:manualLayout>
              <c:xMode val="edge"/>
              <c:yMode val="edge"/>
              <c:x val="0.51358724822318558"/>
              <c:y val="0.9142101681734228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46860736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6468607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Remaining Scrum units</a:t>
                </a:r>
              </a:p>
            </c:rich>
          </c:tx>
          <c:layout>
            <c:manualLayout>
              <c:xMode val="edge"/>
              <c:yMode val="edge"/>
              <c:x val="2.4456486478516028E-2"/>
              <c:y val="0.2815017567248538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28933120"/>
        <c:crosses val="autoZero"/>
        <c:crossBetween val="between"/>
      </c:valAx>
      <c:spPr>
        <a:gradFill rotWithShape="0">
          <a:gsLst>
            <a:gs pos="0">
              <a:srgbClr val="FFFFEF"/>
            </a:gs>
            <a:gs pos="100000">
              <a:srgbClr val="FFFF99"/>
            </a:gs>
          </a:gsLst>
          <a:lin ang="5400000" scaled="1"/>
        </a:gradFill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0380527525950052"/>
          <c:y val="0.30481273174186557"/>
          <c:w val="0.13580642307352031"/>
          <c:h val="0.17067033287505728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://creativecommons.org/licenses/by-sa/3.0/" TargetMode="Externa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18</xdr:row>
      <xdr:rowOff>95250</xdr:rowOff>
    </xdr:from>
    <xdr:to>
      <xdr:col>1</xdr:col>
      <xdr:colOff>895350</xdr:colOff>
      <xdr:row>20</xdr:row>
      <xdr:rowOff>66675</xdr:rowOff>
    </xdr:to>
    <xdr:pic>
      <xdr:nvPicPr>
        <xdr:cNvPr id="2126" name="Pictur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4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0" y="3514725"/>
          <a:ext cx="8286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857250</xdr:colOff>
      <xdr:row>22</xdr:row>
      <xdr:rowOff>0</xdr:rowOff>
    </xdr:from>
    <xdr:to>
      <xdr:col>19</xdr:col>
      <xdr:colOff>9525</xdr:colOff>
      <xdr:row>44</xdr:row>
      <xdr:rowOff>38100</xdr:rowOff>
    </xdr:to>
    <xdr:graphicFrame macro="">
      <xdr:nvGraphicFramePr>
        <xdr:cNvPr id="2" name="Chart 14">
          <a:extLst>
            <a:ext uri="{FF2B5EF4-FFF2-40B4-BE49-F238E27FC236}">
              <a16:creationId xmlns:a16="http://schemas.microsoft.com/office/drawing/2014/main" id="{3CF0BCF1-74B1-4046-A36A-C9C6440DEE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857250</xdr:colOff>
      <xdr:row>22</xdr:row>
      <xdr:rowOff>0</xdr:rowOff>
    </xdr:from>
    <xdr:to>
      <xdr:col>19</xdr:col>
      <xdr:colOff>9525</xdr:colOff>
      <xdr:row>44</xdr:row>
      <xdr:rowOff>38100</xdr:rowOff>
    </xdr:to>
    <xdr:graphicFrame macro="">
      <xdr:nvGraphicFramePr>
        <xdr:cNvPr id="2" name="Chart 14">
          <a:extLst>
            <a:ext uri="{FF2B5EF4-FFF2-40B4-BE49-F238E27FC236}">
              <a16:creationId xmlns:a16="http://schemas.microsoft.com/office/drawing/2014/main" id="{96D18D61-C64E-4FBA-9525-EE542F6652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857250</xdr:colOff>
      <xdr:row>22</xdr:row>
      <xdr:rowOff>0</xdr:rowOff>
    </xdr:from>
    <xdr:to>
      <xdr:col>19</xdr:col>
      <xdr:colOff>9525</xdr:colOff>
      <xdr:row>44</xdr:row>
      <xdr:rowOff>38100</xdr:rowOff>
    </xdr:to>
    <xdr:graphicFrame macro="">
      <xdr:nvGraphicFramePr>
        <xdr:cNvPr id="2" name="Chart 14">
          <a:extLst>
            <a:ext uri="{FF2B5EF4-FFF2-40B4-BE49-F238E27FC236}">
              <a16:creationId xmlns:a16="http://schemas.microsoft.com/office/drawing/2014/main" id="{13885E93-A012-40BF-AB9F-C3E5D3214B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857250</xdr:colOff>
      <xdr:row>22</xdr:row>
      <xdr:rowOff>0</xdr:rowOff>
    </xdr:from>
    <xdr:to>
      <xdr:col>19</xdr:col>
      <xdr:colOff>9525</xdr:colOff>
      <xdr:row>44</xdr:row>
      <xdr:rowOff>38100</xdr:rowOff>
    </xdr:to>
    <xdr:graphicFrame macro="">
      <xdr:nvGraphicFramePr>
        <xdr:cNvPr id="2" name="Chart 14">
          <a:extLst>
            <a:ext uri="{FF2B5EF4-FFF2-40B4-BE49-F238E27FC236}">
              <a16:creationId xmlns:a16="http://schemas.microsoft.com/office/drawing/2014/main" id="{C7BE7DC0-072C-4AC2-AB5A-B994A3501C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857250</xdr:colOff>
      <xdr:row>22</xdr:row>
      <xdr:rowOff>0</xdr:rowOff>
    </xdr:from>
    <xdr:to>
      <xdr:col>19</xdr:col>
      <xdr:colOff>9525</xdr:colOff>
      <xdr:row>44</xdr:row>
      <xdr:rowOff>38100</xdr:rowOff>
    </xdr:to>
    <xdr:graphicFrame macro="">
      <xdr:nvGraphicFramePr>
        <xdr:cNvPr id="2" name="Chart 14">
          <a:extLst>
            <a:ext uri="{FF2B5EF4-FFF2-40B4-BE49-F238E27FC236}">
              <a16:creationId xmlns:a16="http://schemas.microsoft.com/office/drawing/2014/main" id="{3D2AA67E-15A3-4AFF-8559-CE297BD4F7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857250</xdr:colOff>
      <xdr:row>22</xdr:row>
      <xdr:rowOff>0</xdr:rowOff>
    </xdr:from>
    <xdr:to>
      <xdr:col>19</xdr:col>
      <xdr:colOff>9525</xdr:colOff>
      <xdr:row>44</xdr:row>
      <xdr:rowOff>38100</xdr:rowOff>
    </xdr:to>
    <xdr:graphicFrame macro="">
      <xdr:nvGraphicFramePr>
        <xdr:cNvPr id="2" name="Chart 14">
          <a:extLst>
            <a:ext uri="{FF2B5EF4-FFF2-40B4-BE49-F238E27FC236}">
              <a16:creationId xmlns:a16="http://schemas.microsoft.com/office/drawing/2014/main" id="{B6587440-35EB-40D1-9142-1A0651AE7A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857250</xdr:colOff>
      <xdr:row>22</xdr:row>
      <xdr:rowOff>0</xdr:rowOff>
    </xdr:from>
    <xdr:to>
      <xdr:col>19</xdr:col>
      <xdr:colOff>9525</xdr:colOff>
      <xdr:row>44</xdr:row>
      <xdr:rowOff>38100</xdr:rowOff>
    </xdr:to>
    <xdr:graphicFrame macro="">
      <xdr:nvGraphicFramePr>
        <xdr:cNvPr id="2" name="Chart 14">
          <a:extLst>
            <a:ext uri="{FF2B5EF4-FFF2-40B4-BE49-F238E27FC236}">
              <a16:creationId xmlns:a16="http://schemas.microsoft.com/office/drawing/2014/main" id="{16415E38-DAED-4110-B17A-C532F938A2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857250</xdr:colOff>
      <xdr:row>22</xdr:row>
      <xdr:rowOff>0</xdr:rowOff>
    </xdr:from>
    <xdr:to>
      <xdr:col>19</xdr:col>
      <xdr:colOff>9525</xdr:colOff>
      <xdr:row>44</xdr:row>
      <xdr:rowOff>38100</xdr:rowOff>
    </xdr:to>
    <xdr:graphicFrame macro="">
      <xdr:nvGraphicFramePr>
        <xdr:cNvPr id="2" name="Chart 14">
          <a:extLst>
            <a:ext uri="{FF2B5EF4-FFF2-40B4-BE49-F238E27FC236}">
              <a16:creationId xmlns:a16="http://schemas.microsoft.com/office/drawing/2014/main" id="{2A8FA80D-D150-4C8B-A4F8-1F8A967F06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0:G39" totalsRowShown="0" headerRowDxfId="26" dataDxfId="24" headerRowBorderDxfId="25" tableBorderDxfId="23">
  <autoFilter ref="A10:G39" xr:uid="{00000000-0009-0000-0100-000001000000}"/>
  <sortState xmlns:xlrd2="http://schemas.microsoft.com/office/spreadsheetml/2017/richdata2" ref="A11:F20">
    <sortCondition ref="F10:F20"/>
  </sortState>
  <tableColumns count="7">
    <tableColumn id="1" xr3:uid="{00000000-0010-0000-0000-000001000000}" name=" Story ID" dataDxfId="22"/>
    <tableColumn id="2" xr3:uid="{00000000-0010-0000-0000-000002000000}" name="Title" dataDxfId="21"/>
    <tableColumn id="3" xr3:uid="{00000000-0010-0000-0000-000003000000}" name="Description" dataDxfId="20"/>
    <tableColumn id="4" xr3:uid="{00000000-0010-0000-0000-000004000000}" name="Acceptance Criteria" dataDxfId="19"/>
    <tableColumn id="5" xr3:uid="{00000000-0010-0000-0000-000005000000}" name="Priority #" dataDxfId="18"/>
    <tableColumn id="6" xr3:uid="{00000000-0010-0000-0000-000006000000}" name="Sprint #" dataDxfId="17"/>
    <tableColumn id="7" xr3:uid="{00000000-0010-0000-0000-000007000000}" name="Responsibility" dataDxfId="16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D35"/>
  <sheetViews>
    <sheetView workbookViewId="0">
      <selection activeCell="B15" sqref="B15"/>
    </sheetView>
  </sheetViews>
  <sheetFormatPr defaultColWidth="11.46484375" defaultRowHeight="12.75" x14ac:dyDescent="0.35"/>
  <cols>
    <col min="1" max="1" width="36.6640625" style="16" customWidth="1"/>
    <col min="2" max="2" width="114.86328125" style="1" customWidth="1"/>
    <col min="3" max="16384" width="11.46484375" style="1"/>
  </cols>
  <sheetData>
    <row r="2" spans="1:4" s="13" customFormat="1" ht="39.75" customHeight="1" x14ac:dyDescent="0.4">
      <c r="A2" s="88" t="s">
        <v>28</v>
      </c>
      <c r="B2" s="89"/>
      <c r="C2" s="36"/>
      <c r="D2" s="36"/>
    </row>
    <row r="3" spans="1:4" ht="13.15" x14ac:dyDescent="0.4">
      <c r="A3" s="37"/>
      <c r="B3" s="36"/>
      <c r="C3" s="38"/>
      <c r="D3" s="38"/>
    </row>
    <row r="4" spans="1:4" s="15" customFormat="1" ht="13.15" x14ac:dyDescent="0.4">
      <c r="A4" s="37"/>
      <c r="B4" s="39"/>
      <c r="C4" s="39"/>
      <c r="D4" s="39"/>
    </row>
    <row r="5" spans="1:4" s="15" customFormat="1" ht="13.15" x14ac:dyDescent="0.4">
      <c r="A5" s="37"/>
      <c r="B5" s="39"/>
      <c r="C5" s="39"/>
      <c r="D5" s="39"/>
    </row>
    <row r="6" spans="1:4" s="14" customFormat="1" ht="13.15" x14ac:dyDescent="0.4">
      <c r="A6" s="37" t="s">
        <v>0</v>
      </c>
      <c r="B6" s="38" t="s">
        <v>1</v>
      </c>
      <c r="C6" s="38"/>
      <c r="D6" s="38"/>
    </row>
    <row r="7" spans="1:4" s="15" customFormat="1" ht="13.15" x14ac:dyDescent="0.4">
      <c r="A7" s="37"/>
      <c r="B7" s="39"/>
      <c r="C7" s="39"/>
      <c r="D7" s="39"/>
    </row>
    <row r="8" spans="1:4" s="15" customFormat="1" ht="13.15" x14ac:dyDescent="0.4">
      <c r="A8" s="37"/>
      <c r="B8" s="40"/>
      <c r="C8" s="39"/>
      <c r="D8" s="39"/>
    </row>
    <row r="9" spans="1:4" s="14" customFormat="1" ht="13.15" x14ac:dyDescent="0.4">
      <c r="A9" s="41"/>
      <c r="B9" s="40"/>
      <c r="C9" s="38"/>
      <c r="D9" s="38"/>
    </row>
    <row r="10" spans="1:4" s="15" customFormat="1" ht="13.15" x14ac:dyDescent="0.4">
      <c r="A10" s="37"/>
      <c r="B10" s="39"/>
      <c r="C10" s="39"/>
      <c r="D10" s="39"/>
    </row>
    <row r="11" spans="1:4" s="14" customFormat="1" ht="13.15" x14ac:dyDescent="0.4">
      <c r="A11" s="37" t="s">
        <v>2</v>
      </c>
      <c r="B11" s="42" t="s">
        <v>30</v>
      </c>
      <c r="C11" s="38"/>
      <c r="D11" s="38"/>
    </row>
    <row r="12" spans="1:4" ht="13.15" x14ac:dyDescent="0.4">
      <c r="A12" s="37"/>
      <c r="B12" s="42" t="s">
        <v>3</v>
      </c>
      <c r="C12" s="38"/>
      <c r="D12" s="38"/>
    </row>
    <row r="13" spans="1:4" ht="13.15" x14ac:dyDescent="0.4">
      <c r="A13" s="37"/>
      <c r="B13" s="42"/>
      <c r="C13" s="38"/>
      <c r="D13" s="38"/>
    </row>
    <row r="14" spans="1:4" ht="13.15" x14ac:dyDescent="0.4">
      <c r="A14" s="37"/>
      <c r="B14" s="38"/>
      <c r="C14" s="38"/>
      <c r="D14" s="38"/>
    </row>
    <row r="15" spans="1:4" ht="13.15" x14ac:dyDescent="0.4">
      <c r="A15" s="37" t="s">
        <v>4</v>
      </c>
      <c r="B15" s="43" t="s">
        <v>5</v>
      </c>
      <c r="C15" s="38"/>
      <c r="D15" s="38"/>
    </row>
    <row r="16" spans="1:4" ht="13.15" x14ac:dyDescent="0.4">
      <c r="A16" s="37"/>
      <c r="B16" s="38" t="s">
        <v>6</v>
      </c>
      <c r="C16" s="38"/>
      <c r="D16" s="38"/>
    </row>
    <row r="17" spans="1:4" s="14" customFormat="1" ht="13.15" x14ac:dyDescent="0.4">
      <c r="A17" s="37"/>
      <c r="B17" s="38"/>
      <c r="C17" s="38"/>
      <c r="D17" s="38"/>
    </row>
    <row r="18" spans="1:4" s="15" customFormat="1" ht="13.15" x14ac:dyDescent="0.4">
      <c r="A18" s="37" t="s">
        <v>7</v>
      </c>
      <c r="B18" s="44" t="s">
        <v>8</v>
      </c>
      <c r="C18" s="39"/>
      <c r="D18" s="39"/>
    </row>
    <row r="19" spans="1:4" ht="13.15" x14ac:dyDescent="0.4">
      <c r="A19" s="37"/>
      <c r="B19" s="38"/>
      <c r="C19" s="38"/>
      <c r="D19" s="38"/>
    </row>
    <row r="20" spans="1:4" ht="13.15" x14ac:dyDescent="0.4">
      <c r="A20" s="37"/>
      <c r="B20" s="38"/>
      <c r="C20" s="38"/>
      <c r="D20" s="38"/>
    </row>
    <row r="21" spans="1:4" ht="13.15" x14ac:dyDescent="0.4">
      <c r="A21" s="37"/>
      <c r="B21" s="38"/>
      <c r="C21" s="38"/>
      <c r="D21" s="38"/>
    </row>
    <row r="22" spans="1:4" ht="13.15" x14ac:dyDescent="0.4">
      <c r="A22" s="37"/>
      <c r="B22" s="38"/>
      <c r="C22" s="38"/>
      <c r="D22" s="38"/>
    </row>
    <row r="23" spans="1:4" ht="13.15" x14ac:dyDescent="0.4">
      <c r="A23" s="37" t="s">
        <v>9</v>
      </c>
      <c r="B23" s="38" t="s">
        <v>10</v>
      </c>
      <c r="C23" s="38"/>
      <c r="D23" s="38"/>
    </row>
    <row r="24" spans="1:4" ht="13.15" x14ac:dyDescent="0.4">
      <c r="A24" s="37"/>
      <c r="B24" s="40"/>
      <c r="C24" s="38"/>
      <c r="D24" s="38"/>
    </row>
    <row r="31" spans="1:4" x14ac:dyDescent="0.35">
      <c r="A31" s="1"/>
    </row>
    <row r="32" spans="1:4" x14ac:dyDescent="0.35">
      <c r="A32" s="1"/>
    </row>
    <row r="33" spans="1:1" x14ac:dyDescent="0.35">
      <c r="A33" s="1"/>
    </row>
    <row r="34" spans="1:1" x14ac:dyDescent="0.35">
      <c r="A34" s="1"/>
    </row>
    <row r="35" spans="1:1" x14ac:dyDescent="0.35">
      <c r="A35" s="1"/>
    </row>
  </sheetData>
  <customSheetViews>
    <customSheetView guid="{988818D5-2AEF-4A9A-A55E-18240173EC63}" topLeftCell="A7">
      <selection activeCell="B12" sqref="B12"/>
      <pageMargins left="0" right="0" top="0" bottom="0" header="0" footer="0"/>
      <pageSetup orientation="portrait"/>
      <headerFooter alignWithMargins="0"/>
    </customSheetView>
    <customSheetView guid="{AF9CDD9E-3CB3-EE48-8887-F1090B6AE042}" topLeftCell="A7">
      <selection activeCell="B12" sqref="B12"/>
      <pageMargins left="0" right="0" top="0" bottom="0" header="0" footer="0"/>
      <pageSetup orientation="portrait"/>
      <headerFooter alignWithMargins="0"/>
    </customSheetView>
    <customSheetView guid="{F117AA09-D9DE-4D2E-A2DF-77AB3D7617C3}">
      <selection activeCell="B15" sqref="B15"/>
      <pageMargins left="0" right="0" top="0" bottom="0" header="0" footer="0"/>
      <pageSetup orientation="portrait"/>
      <headerFooter alignWithMargins="0"/>
    </customSheetView>
  </customSheetViews>
  <mergeCells count="1">
    <mergeCell ref="A2:B2"/>
  </mergeCells>
  <phoneticPr fontId="5" type="noConversion"/>
  <pageMargins left="0.75" right="0.75" top="1" bottom="1" header="0.5" footer="0.5"/>
  <pageSetup orientation="portrait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EC39"/>
  <sheetViews>
    <sheetView tabSelected="1" topLeftCell="A5" zoomScale="70" zoomScaleNormal="70" workbookViewId="0">
      <selection activeCell="D8" sqref="D8"/>
    </sheetView>
  </sheetViews>
  <sheetFormatPr defaultColWidth="11.46484375" defaultRowHeight="15.4" x14ac:dyDescent="0.45"/>
  <cols>
    <col min="1" max="1" width="14.53125" style="46" bestFit="1" customWidth="1"/>
    <col min="2" max="2" width="33.46484375" style="70" bestFit="1" customWidth="1"/>
    <col min="3" max="3" width="103.1328125" style="70" bestFit="1" customWidth="1"/>
    <col min="4" max="4" width="74.86328125" style="45" bestFit="1" customWidth="1"/>
    <col min="5" max="5" width="15.53125" style="46" bestFit="1" customWidth="1"/>
    <col min="6" max="6" width="11.86328125" style="45" bestFit="1" customWidth="1"/>
    <col min="7" max="7" width="20.53125" style="45" customWidth="1"/>
    <col min="8" max="16384" width="11.46484375" style="45"/>
  </cols>
  <sheetData>
    <row r="2" spans="1:133" x14ac:dyDescent="0.45">
      <c r="A2" s="67" t="s">
        <v>28</v>
      </c>
      <c r="B2" s="69"/>
      <c r="C2" s="69"/>
      <c r="D2" s="68"/>
      <c r="E2" s="68"/>
      <c r="F2" s="68"/>
    </row>
    <row r="3" spans="1:133" x14ac:dyDescent="0.45">
      <c r="D3" s="46"/>
    </row>
    <row r="4" spans="1:133" x14ac:dyDescent="0.45">
      <c r="B4" s="71" t="s">
        <v>11</v>
      </c>
      <c r="C4" s="81" t="s">
        <v>104</v>
      </c>
      <c r="D4" s="46"/>
    </row>
    <row r="5" spans="1:133" x14ac:dyDescent="0.45">
      <c r="B5" s="71" t="s">
        <v>12</v>
      </c>
      <c r="C5" s="82" t="s">
        <v>103</v>
      </c>
      <c r="D5" s="46"/>
    </row>
    <row r="6" spans="1:133" x14ac:dyDescent="0.45">
      <c r="B6" s="71" t="s">
        <v>14</v>
      </c>
      <c r="C6" s="81" t="s">
        <v>105</v>
      </c>
      <c r="D6" s="46"/>
    </row>
    <row r="7" spans="1:133" x14ac:dyDescent="0.45">
      <c r="B7" s="71" t="s">
        <v>13</v>
      </c>
      <c r="C7" s="81" t="s">
        <v>106</v>
      </c>
      <c r="D7" s="46"/>
    </row>
    <row r="8" spans="1:133" x14ac:dyDescent="0.45">
      <c r="B8" s="71" t="s">
        <v>15</v>
      </c>
      <c r="C8" s="81" t="s">
        <v>105</v>
      </c>
      <c r="D8" s="46"/>
    </row>
    <row r="9" spans="1:133" x14ac:dyDescent="0.45">
      <c r="D9" s="46"/>
    </row>
    <row r="10" spans="1:133" s="47" customFormat="1" ht="15" x14ac:dyDescent="0.35">
      <c r="A10" s="74" t="s">
        <v>32</v>
      </c>
      <c r="B10" s="75" t="s">
        <v>17</v>
      </c>
      <c r="C10" s="75" t="s">
        <v>24</v>
      </c>
      <c r="D10" s="76" t="s">
        <v>18</v>
      </c>
      <c r="E10" s="76" t="s">
        <v>19</v>
      </c>
      <c r="F10" s="76" t="s">
        <v>20</v>
      </c>
      <c r="G10" s="77" t="s">
        <v>29</v>
      </c>
    </row>
    <row r="11" spans="1:133" s="78" customFormat="1" x14ac:dyDescent="0.45">
      <c r="A11" s="80">
        <v>1</v>
      </c>
      <c r="B11" s="80" t="s">
        <v>33</v>
      </c>
      <c r="C11" s="99" t="s">
        <v>118</v>
      </c>
      <c r="D11" s="80" t="s">
        <v>34</v>
      </c>
      <c r="E11" s="80">
        <v>1</v>
      </c>
      <c r="F11" s="80">
        <v>1</v>
      </c>
      <c r="G11" s="80" t="s">
        <v>35</v>
      </c>
      <c r="H11" s="79"/>
      <c r="I11" s="79"/>
      <c r="J11" s="79"/>
      <c r="K11" s="79"/>
      <c r="L11" s="79"/>
      <c r="M11" s="79"/>
      <c r="N11" s="79"/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79"/>
      <c r="AJ11" s="79"/>
      <c r="AK11" s="79"/>
      <c r="AL11" s="79"/>
      <c r="AM11" s="79"/>
      <c r="AN11" s="79"/>
      <c r="AO11" s="79"/>
      <c r="AP11" s="79"/>
      <c r="AQ11" s="79"/>
      <c r="AR11" s="79"/>
      <c r="AS11" s="79"/>
      <c r="AT11" s="79"/>
      <c r="AU11" s="79"/>
      <c r="AV11" s="79"/>
      <c r="AW11" s="79"/>
      <c r="AX11" s="79"/>
      <c r="AY11" s="79"/>
      <c r="AZ11" s="79"/>
      <c r="BA11" s="79"/>
      <c r="BB11" s="79"/>
      <c r="BC11" s="79"/>
      <c r="BD11" s="79"/>
      <c r="BE11" s="79"/>
      <c r="BF11" s="79"/>
      <c r="BG11" s="79"/>
      <c r="BH11" s="79"/>
      <c r="BI11" s="79"/>
      <c r="BJ11" s="79"/>
      <c r="BK11" s="79"/>
      <c r="BL11" s="79"/>
      <c r="BM11" s="79"/>
      <c r="BN11" s="79"/>
      <c r="BO11" s="79"/>
      <c r="BP11" s="79"/>
      <c r="BQ11" s="79"/>
      <c r="BR11" s="79"/>
      <c r="BS11" s="79"/>
      <c r="BT11" s="79"/>
      <c r="BU11" s="79"/>
      <c r="BV11" s="79"/>
      <c r="BW11" s="79"/>
      <c r="BX11" s="79"/>
      <c r="BY11" s="79"/>
      <c r="BZ11" s="79"/>
      <c r="CA11" s="79"/>
      <c r="CB11" s="79"/>
      <c r="CC11" s="79"/>
      <c r="CD11" s="79"/>
      <c r="CE11" s="79"/>
      <c r="CF11" s="79"/>
      <c r="CG11" s="79"/>
      <c r="CH11" s="79"/>
      <c r="CI11" s="79"/>
      <c r="CJ11" s="79"/>
      <c r="CK11" s="79"/>
      <c r="CL11" s="79"/>
      <c r="CM11" s="79"/>
      <c r="CN11" s="79"/>
      <c r="CO11" s="79"/>
      <c r="CP11" s="79"/>
      <c r="CQ11" s="79"/>
      <c r="CR11" s="79"/>
      <c r="CS11" s="79"/>
      <c r="CT11" s="79"/>
      <c r="CU11" s="79"/>
      <c r="CV11" s="79"/>
      <c r="CW11" s="79"/>
      <c r="CX11" s="79"/>
      <c r="CY11" s="79"/>
      <c r="CZ11" s="79"/>
      <c r="DA11" s="79"/>
      <c r="DB11" s="79"/>
      <c r="DC11" s="79"/>
      <c r="DD11" s="79"/>
      <c r="DE11" s="79"/>
      <c r="DF11" s="79"/>
      <c r="DG11" s="79"/>
      <c r="DH11" s="79"/>
      <c r="DI11" s="79"/>
      <c r="DJ11" s="79"/>
      <c r="DK11" s="79"/>
      <c r="DL11" s="79"/>
      <c r="DM11" s="79"/>
      <c r="DN11" s="79"/>
      <c r="DO11" s="79"/>
      <c r="DP11" s="79"/>
      <c r="DQ11" s="79"/>
      <c r="DR11" s="79"/>
      <c r="DS11" s="79"/>
      <c r="DT11" s="79"/>
      <c r="DU11" s="79"/>
      <c r="DV11" s="79"/>
      <c r="DW11" s="79"/>
      <c r="DX11" s="79"/>
      <c r="DY11" s="79"/>
      <c r="DZ11" s="79"/>
      <c r="EA11" s="79"/>
      <c r="EB11" s="79"/>
      <c r="EC11" s="79"/>
    </row>
    <row r="12" spans="1:133" s="78" customFormat="1" x14ac:dyDescent="0.35">
      <c r="A12" s="80">
        <v>2</v>
      </c>
      <c r="B12" s="80" t="s">
        <v>36</v>
      </c>
      <c r="C12" s="80" t="s">
        <v>37</v>
      </c>
      <c r="D12" s="80" t="s">
        <v>38</v>
      </c>
      <c r="E12" s="80">
        <v>2</v>
      </c>
      <c r="F12" s="80">
        <v>1</v>
      </c>
      <c r="G12" s="80" t="s">
        <v>35</v>
      </c>
      <c r="H12" s="79"/>
      <c r="I12" s="79"/>
      <c r="J12" s="79"/>
      <c r="K12" s="79"/>
      <c r="L12" s="79"/>
      <c r="M12" s="79"/>
      <c r="N12" s="79"/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79"/>
      <c r="AJ12" s="79"/>
      <c r="AK12" s="79"/>
      <c r="AL12" s="79"/>
      <c r="AM12" s="79"/>
      <c r="AN12" s="79"/>
      <c r="AO12" s="79"/>
      <c r="AP12" s="79"/>
      <c r="AQ12" s="79"/>
      <c r="AR12" s="79"/>
      <c r="AS12" s="79"/>
      <c r="AT12" s="79"/>
      <c r="AU12" s="79"/>
      <c r="AV12" s="79"/>
      <c r="AW12" s="79"/>
      <c r="AX12" s="79"/>
      <c r="AY12" s="79"/>
      <c r="AZ12" s="79"/>
      <c r="BA12" s="79"/>
      <c r="BB12" s="79"/>
      <c r="BC12" s="79"/>
      <c r="BD12" s="79"/>
      <c r="BE12" s="79"/>
      <c r="BF12" s="79"/>
      <c r="BG12" s="79"/>
      <c r="BH12" s="79"/>
      <c r="BI12" s="79"/>
      <c r="BJ12" s="79"/>
      <c r="BK12" s="79"/>
      <c r="BL12" s="79"/>
      <c r="BM12" s="79"/>
      <c r="BN12" s="79"/>
      <c r="BO12" s="79"/>
      <c r="BP12" s="79"/>
      <c r="BQ12" s="79"/>
      <c r="BR12" s="79"/>
      <c r="BS12" s="79"/>
      <c r="BT12" s="79"/>
      <c r="BU12" s="79"/>
      <c r="BV12" s="79"/>
      <c r="BW12" s="79"/>
      <c r="BX12" s="79"/>
      <c r="BY12" s="79"/>
      <c r="BZ12" s="79"/>
      <c r="CA12" s="79"/>
      <c r="CB12" s="79"/>
      <c r="CC12" s="79"/>
      <c r="CD12" s="79"/>
      <c r="CE12" s="79"/>
      <c r="CF12" s="79"/>
      <c r="CG12" s="79"/>
      <c r="CH12" s="79"/>
      <c r="CI12" s="79"/>
      <c r="CJ12" s="79"/>
      <c r="CK12" s="79"/>
      <c r="CL12" s="79"/>
      <c r="CM12" s="79"/>
      <c r="CN12" s="79"/>
      <c r="CO12" s="79"/>
      <c r="CP12" s="79"/>
      <c r="CQ12" s="79"/>
      <c r="CR12" s="79"/>
      <c r="CS12" s="79"/>
      <c r="CT12" s="79"/>
      <c r="CU12" s="79"/>
      <c r="CV12" s="79"/>
      <c r="CW12" s="79"/>
      <c r="CX12" s="79"/>
      <c r="CY12" s="79"/>
      <c r="CZ12" s="79"/>
      <c r="DA12" s="79"/>
      <c r="DB12" s="79"/>
      <c r="DC12" s="79"/>
      <c r="DD12" s="79"/>
      <c r="DE12" s="79"/>
      <c r="DF12" s="79"/>
      <c r="DG12" s="79"/>
      <c r="DH12" s="79"/>
      <c r="DI12" s="79"/>
      <c r="DJ12" s="79"/>
      <c r="DK12" s="79"/>
      <c r="DL12" s="79"/>
      <c r="DM12" s="79"/>
      <c r="DN12" s="79"/>
      <c r="DO12" s="79"/>
      <c r="DP12" s="79"/>
      <c r="DQ12" s="79"/>
      <c r="DR12" s="79"/>
      <c r="DS12" s="79"/>
      <c r="DT12" s="79"/>
      <c r="DU12" s="79"/>
      <c r="DV12" s="79"/>
      <c r="DW12" s="79"/>
      <c r="DX12" s="79"/>
      <c r="DY12" s="79"/>
      <c r="DZ12" s="79"/>
      <c r="EA12" s="79"/>
      <c r="EB12" s="79"/>
      <c r="EC12" s="79"/>
    </row>
    <row r="13" spans="1:133" s="78" customFormat="1" x14ac:dyDescent="0.35">
      <c r="A13" s="80">
        <v>3</v>
      </c>
      <c r="B13" s="80" t="s">
        <v>39</v>
      </c>
      <c r="C13" s="80" t="s">
        <v>40</v>
      </c>
      <c r="D13" s="80" t="s">
        <v>41</v>
      </c>
      <c r="E13" s="80">
        <v>3</v>
      </c>
      <c r="F13" s="80">
        <v>1</v>
      </c>
      <c r="G13" s="80" t="s">
        <v>35</v>
      </c>
      <c r="H13" s="79"/>
      <c r="I13" s="79"/>
      <c r="J13" s="79"/>
      <c r="K13" s="79"/>
      <c r="L13" s="79"/>
      <c r="M13" s="79"/>
      <c r="N13" s="79"/>
      <c r="O13" s="79"/>
      <c r="P13" s="79"/>
      <c r="Q13" s="79"/>
      <c r="R13" s="79"/>
      <c r="S13" s="79"/>
      <c r="T13" s="79"/>
      <c r="U13" s="79"/>
      <c r="V13" s="79"/>
      <c r="W13" s="79"/>
      <c r="X13" s="79"/>
      <c r="Y13" s="79"/>
      <c r="Z13" s="79"/>
      <c r="AA13" s="79"/>
      <c r="AB13" s="79"/>
      <c r="AC13" s="79"/>
      <c r="AD13" s="79"/>
      <c r="AE13" s="79"/>
      <c r="AF13" s="79"/>
      <c r="AG13" s="79"/>
      <c r="AH13" s="79"/>
      <c r="AI13" s="79"/>
      <c r="AJ13" s="79"/>
      <c r="AK13" s="79"/>
      <c r="AL13" s="79"/>
      <c r="AM13" s="79"/>
      <c r="AN13" s="79"/>
      <c r="AO13" s="79"/>
      <c r="AP13" s="79"/>
      <c r="AQ13" s="79"/>
      <c r="AR13" s="79"/>
      <c r="AS13" s="79"/>
      <c r="AT13" s="79"/>
      <c r="AU13" s="79"/>
      <c r="AV13" s="79"/>
      <c r="AW13" s="79"/>
      <c r="AX13" s="79"/>
      <c r="AY13" s="79"/>
      <c r="AZ13" s="79"/>
      <c r="BA13" s="79"/>
      <c r="BB13" s="79"/>
      <c r="BC13" s="79"/>
      <c r="BD13" s="79"/>
      <c r="BE13" s="79"/>
      <c r="BF13" s="79"/>
      <c r="BG13" s="79"/>
      <c r="BH13" s="79"/>
      <c r="BI13" s="79"/>
      <c r="BJ13" s="79"/>
      <c r="BK13" s="79"/>
      <c r="BL13" s="79"/>
      <c r="BM13" s="79"/>
      <c r="BN13" s="79"/>
      <c r="BO13" s="79"/>
      <c r="BP13" s="79"/>
      <c r="BQ13" s="79"/>
      <c r="BR13" s="79"/>
      <c r="BS13" s="79"/>
      <c r="BT13" s="79"/>
      <c r="BU13" s="79"/>
      <c r="BV13" s="79"/>
      <c r="BW13" s="79"/>
      <c r="BX13" s="79"/>
      <c r="BY13" s="79"/>
      <c r="BZ13" s="79"/>
      <c r="CA13" s="79"/>
      <c r="CB13" s="79"/>
      <c r="CC13" s="79"/>
      <c r="CD13" s="79"/>
      <c r="CE13" s="79"/>
      <c r="CF13" s="79"/>
      <c r="CG13" s="79"/>
      <c r="CH13" s="79"/>
      <c r="CI13" s="79"/>
      <c r="CJ13" s="79"/>
      <c r="CK13" s="79"/>
      <c r="CL13" s="79"/>
      <c r="CM13" s="79"/>
      <c r="CN13" s="79"/>
      <c r="CO13" s="79"/>
      <c r="CP13" s="79"/>
      <c r="CQ13" s="79"/>
      <c r="CR13" s="79"/>
      <c r="CS13" s="79"/>
      <c r="CT13" s="79"/>
      <c r="CU13" s="79"/>
      <c r="CV13" s="79"/>
      <c r="CW13" s="79"/>
      <c r="CX13" s="79"/>
      <c r="CY13" s="79"/>
      <c r="CZ13" s="79"/>
      <c r="DA13" s="79"/>
      <c r="DB13" s="79"/>
      <c r="DC13" s="79"/>
      <c r="DD13" s="79"/>
      <c r="DE13" s="79"/>
      <c r="DF13" s="79"/>
      <c r="DG13" s="79"/>
      <c r="DH13" s="79"/>
      <c r="DI13" s="79"/>
      <c r="DJ13" s="79"/>
      <c r="DK13" s="79"/>
      <c r="DL13" s="79"/>
      <c r="DM13" s="79"/>
      <c r="DN13" s="79"/>
      <c r="DO13" s="79"/>
      <c r="DP13" s="79"/>
      <c r="DQ13" s="79"/>
      <c r="DR13" s="79"/>
      <c r="DS13" s="79"/>
      <c r="DT13" s="79"/>
      <c r="DU13" s="79"/>
      <c r="DV13" s="79"/>
      <c r="DW13" s="79"/>
      <c r="DX13" s="79"/>
      <c r="DY13" s="79"/>
      <c r="DZ13" s="79"/>
      <c r="EA13" s="79"/>
      <c r="EB13" s="79"/>
      <c r="EC13" s="79"/>
    </row>
    <row r="14" spans="1:133" s="78" customFormat="1" x14ac:dyDescent="0.35">
      <c r="A14" s="80">
        <v>4</v>
      </c>
      <c r="B14" s="80" t="s">
        <v>42</v>
      </c>
      <c r="C14" s="80" t="s">
        <v>43</v>
      </c>
      <c r="D14" s="80" t="s">
        <v>44</v>
      </c>
      <c r="E14" s="80">
        <v>4</v>
      </c>
      <c r="F14" s="80">
        <v>1</v>
      </c>
      <c r="G14" s="80" t="s">
        <v>35</v>
      </c>
      <c r="H14" s="79"/>
      <c r="I14" s="79"/>
      <c r="J14" s="79"/>
      <c r="K14" s="79"/>
      <c r="L14" s="79"/>
      <c r="M14" s="79"/>
      <c r="N14" s="79"/>
      <c r="O14" s="79"/>
      <c r="P14" s="79"/>
      <c r="Q14" s="79"/>
      <c r="R14" s="79"/>
      <c r="S14" s="79"/>
      <c r="T14" s="79"/>
      <c r="U14" s="79"/>
      <c r="V14" s="79"/>
      <c r="W14" s="79"/>
      <c r="X14" s="79"/>
      <c r="Y14" s="79"/>
      <c r="Z14" s="79"/>
      <c r="AA14" s="79"/>
      <c r="AB14" s="79"/>
      <c r="AC14" s="79"/>
      <c r="AD14" s="79"/>
      <c r="AE14" s="79"/>
      <c r="AF14" s="79"/>
      <c r="AG14" s="79"/>
      <c r="AH14" s="79"/>
      <c r="AI14" s="79"/>
      <c r="AJ14" s="79"/>
      <c r="AK14" s="79"/>
      <c r="AL14" s="79"/>
      <c r="AM14" s="79"/>
      <c r="AN14" s="79"/>
      <c r="AO14" s="79"/>
      <c r="AP14" s="79"/>
      <c r="AQ14" s="79"/>
      <c r="AR14" s="79"/>
      <c r="AS14" s="79"/>
      <c r="AT14" s="79"/>
      <c r="AU14" s="79"/>
      <c r="AV14" s="79"/>
      <c r="AW14" s="79"/>
      <c r="AX14" s="79"/>
      <c r="AY14" s="79"/>
      <c r="AZ14" s="79"/>
      <c r="BA14" s="79"/>
      <c r="BB14" s="79"/>
      <c r="BC14" s="79"/>
      <c r="BD14" s="79"/>
      <c r="BE14" s="79"/>
      <c r="BF14" s="79"/>
      <c r="BG14" s="79"/>
      <c r="BH14" s="79"/>
      <c r="BI14" s="79"/>
      <c r="BJ14" s="79"/>
      <c r="BK14" s="79"/>
      <c r="BL14" s="79"/>
      <c r="BM14" s="79"/>
      <c r="BN14" s="79"/>
      <c r="BO14" s="79"/>
      <c r="BP14" s="79"/>
      <c r="BQ14" s="79"/>
      <c r="BR14" s="79"/>
      <c r="BS14" s="79"/>
      <c r="BT14" s="79"/>
      <c r="BU14" s="79"/>
      <c r="BV14" s="79"/>
      <c r="BW14" s="79"/>
      <c r="BX14" s="79"/>
      <c r="BY14" s="79"/>
      <c r="BZ14" s="79"/>
      <c r="CA14" s="79"/>
      <c r="CB14" s="79"/>
      <c r="CC14" s="79"/>
      <c r="CD14" s="79"/>
      <c r="CE14" s="79"/>
      <c r="CF14" s="79"/>
      <c r="CG14" s="79"/>
      <c r="CH14" s="79"/>
      <c r="CI14" s="79"/>
      <c r="CJ14" s="79"/>
      <c r="CK14" s="79"/>
      <c r="CL14" s="79"/>
      <c r="CM14" s="79"/>
      <c r="CN14" s="79"/>
      <c r="CO14" s="79"/>
      <c r="CP14" s="79"/>
      <c r="CQ14" s="79"/>
      <c r="CR14" s="79"/>
      <c r="CS14" s="79"/>
      <c r="CT14" s="79"/>
      <c r="CU14" s="79"/>
      <c r="CV14" s="79"/>
      <c r="CW14" s="79"/>
      <c r="CX14" s="79"/>
      <c r="CY14" s="79"/>
      <c r="CZ14" s="79"/>
      <c r="DA14" s="79"/>
      <c r="DB14" s="79"/>
      <c r="DC14" s="79"/>
      <c r="DD14" s="79"/>
      <c r="DE14" s="79"/>
      <c r="DF14" s="79"/>
      <c r="DG14" s="79"/>
      <c r="DH14" s="79"/>
      <c r="DI14" s="79"/>
      <c r="DJ14" s="79"/>
      <c r="DK14" s="79"/>
      <c r="DL14" s="79"/>
      <c r="DM14" s="79"/>
      <c r="DN14" s="79"/>
      <c r="DO14" s="79"/>
      <c r="DP14" s="79"/>
      <c r="DQ14" s="79"/>
      <c r="DR14" s="79"/>
      <c r="DS14" s="79"/>
      <c r="DT14" s="79"/>
      <c r="DU14" s="79"/>
      <c r="DV14" s="79"/>
      <c r="DW14" s="79"/>
      <c r="DX14" s="79"/>
      <c r="DY14" s="79"/>
      <c r="DZ14" s="79"/>
      <c r="EA14" s="79"/>
      <c r="EB14" s="79"/>
      <c r="EC14" s="79"/>
    </row>
    <row r="15" spans="1:133" s="78" customFormat="1" x14ac:dyDescent="0.45">
      <c r="A15" s="80">
        <v>5</v>
      </c>
      <c r="B15" s="80" t="s">
        <v>45</v>
      </c>
      <c r="C15" s="99" t="s">
        <v>119</v>
      </c>
      <c r="D15" s="80" t="s">
        <v>46</v>
      </c>
      <c r="E15" s="80">
        <v>5</v>
      </c>
      <c r="F15" s="80">
        <v>2</v>
      </c>
      <c r="G15" s="80" t="s">
        <v>35</v>
      </c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  <c r="S15" s="79"/>
      <c r="T15" s="79"/>
      <c r="U15" s="79"/>
      <c r="V15" s="79"/>
      <c r="W15" s="79"/>
      <c r="X15" s="79"/>
      <c r="Y15" s="79"/>
      <c r="Z15" s="79"/>
      <c r="AA15" s="79"/>
      <c r="AB15" s="79"/>
      <c r="AC15" s="79"/>
      <c r="AD15" s="79"/>
      <c r="AE15" s="79"/>
      <c r="AF15" s="79"/>
      <c r="AG15" s="79"/>
      <c r="AH15" s="79"/>
      <c r="AI15" s="79"/>
      <c r="AJ15" s="79"/>
      <c r="AK15" s="79"/>
      <c r="AL15" s="79"/>
      <c r="AM15" s="79"/>
      <c r="AN15" s="79"/>
      <c r="AO15" s="79"/>
      <c r="AP15" s="79"/>
      <c r="AQ15" s="79"/>
      <c r="AR15" s="79"/>
      <c r="AS15" s="79"/>
      <c r="AT15" s="79"/>
      <c r="AU15" s="79"/>
      <c r="AV15" s="79"/>
      <c r="AW15" s="79"/>
      <c r="AX15" s="79"/>
      <c r="AY15" s="79"/>
      <c r="AZ15" s="79"/>
      <c r="BA15" s="79"/>
      <c r="BB15" s="79"/>
      <c r="BC15" s="79"/>
      <c r="BD15" s="79"/>
      <c r="BE15" s="79"/>
      <c r="BF15" s="79"/>
      <c r="BG15" s="79"/>
      <c r="BH15" s="79"/>
      <c r="BI15" s="79"/>
      <c r="BJ15" s="79"/>
      <c r="BK15" s="79"/>
      <c r="BL15" s="79"/>
      <c r="BM15" s="79"/>
      <c r="BN15" s="79"/>
      <c r="BO15" s="79"/>
      <c r="BP15" s="79"/>
      <c r="BQ15" s="79"/>
      <c r="BR15" s="79"/>
      <c r="BS15" s="79"/>
      <c r="BT15" s="79"/>
      <c r="BU15" s="79"/>
      <c r="BV15" s="79"/>
      <c r="BW15" s="79"/>
      <c r="BX15" s="79"/>
      <c r="BY15" s="79"/>
      <c r="BZ15" s="79"/>
      <c r="CA15" s="79"/>
      <c r="CB15" s="79"/>
      <c r="CC15" s="79"/>
      <c r="CD15" s="79"/>
      <c r="CE15" s="79"/>
      <c r="CF15" s="79"/>
      <c r="CG15" s="79"/>
      <c r="CH15" s="79"/>
      <c r="CI15" s="79"/>
      <c r="CJ15" s="79"/>
      <c r="CK15" s="79"/>
      <c r="CL15" s="79"/>
      <c r="CM15" s="79"/>
      <c r="CN15" s="79"/>
      <c r="CO15" s="79"/>
      <c r="CP15" s="79"/>
      <c r="CQ15" s="79"/>
      <c r="CR15" s="79"/>
      <c r="CS15" s="79"/>
      <c r="CT15" s="79"/>
      <c r="CU15" s="79"/>
      <c r="CV15" s="79"/>
      <c r="CW15" s="79"/>
      <c r="CX15" s="79"/>
      <c r="CY15" s="79"/>
      <c r="CZ15" s="79"/>
      <c r="DA15" s="79"/>
      <c r="DB15" s="79"/>
      <c r="DC15" s="79"/>
      <c r="DD15" s="79"/>
      <c r="DE15" s="79"/>
      <c r="DF15" s="79"/>
      <c r="DG15" s="79"/>
      <c r="DH15" s="79"/>
      <c r="DI15" s="79"/>
      <c r="DJ15" s="79"/>
      <c r="DK15" s="79"/>
      <c r="DL15" s="79"/>
      <c r="DM15" s="79"/>
      <c r="DN15" s="79"/>
      <c r="DO15" s="79"/>
      <c r="DP15" s="79"/>
      <c r="DQ15" s="79"/>
      <c r="DR15" s="79"/>
      <c r="DS15" s="79"/>
      <c r="DT15" s="79"/>
      <c r="DU15" s="79"/>
      <c r="DV15" s="79"/>
      <c r="DW15" s="79"/>
      <c r="DX15" s="79"/>
      <c r="DY15" s="79"/>
      <c r="DZ15" s="79"/>
      <c r="EA15" s="79"/>
      <c r="EB15" s="79"/>
      <c r="EC15" s="79"/>
    </row>
    <row r="16" spans="1:133" s="78" customFormat="1" x14ac:dyDescent="0.35">
      <c r="A16" s="80">
        <v>6</v>
      </c>
      <c r="B16" s="80" t="s">
        <v>47</v>
      </c>
      <c r="C16" s="80" t="s">
        <v>48</v>
      </c>
      <c r="D16" s="80" t="s">
        <v>49</v>
      </c>
      <c r="E16" s="80">
        <v>6</v>
      </c>
      <c r="F16" s="80">
        <v>2</v>
      </c>
      <c r="G16" s="80" t="s">
        <v>35</v>
      </c>
      <c r="H16" s="79"/>
      <c r="I16" s="79"/>
      <c r="J16" s="79"/>
      <c r="K16" s="79"/>
      <c r="L16" s="79"/>
      <c r="M16" s="79"/>
      <c r="N16" s="79"/>
      <c r="O16" s="79"/>
      <c r="P16" s="79"/>
      <c r="Q16" s="79"/>
      <c r="R16" s="79"/>
      <c r="S16" s="79"/>
      <c r="T16" s="79"/>
      <c r="U16" s="79"/>
      <c r="V16" s="79"/>
      <c r="W16" s="79"/>
      <c r="X16" s="79"/>
      <c r="Y16" s="79"/>
      <c r="Z16" s="79"/>
      <c r="AA16" s="79"/>
      <c r="AB16" s="79"/>
      <c r="AC16" s="79"/>
      <c r="AD16" s="79"/>
      <c r="AE16" s="79"/>
      <c r="AF16" s="79"/>
      <c r="AG16" s="79"/>
      <c r="AH16" s="79"/>
      <c r="AI16" s="79"/>
      <c r="AJ16" s="79"/>
      <c r="AK16" s="79"/>
      <c r="AL16" s="79"/>
      <c r="AM16" s="79"/>
      <c r="AN16" s="79"/>
      <c r="AO16" s="79"/>
      <c r="AP16" s="79"/>
      <c r="AQ16" s="79"/>
      <c r="AR16" s="79"/>
      <c r="AS16" s="79"/>
      <c r="AT16" s="79"/>
      <c r="AU16" s="79"/>
      <c r="AV16" s="79"/>
      <c r="AW16" s="79"/>
      <c r="AX16" s="79"/>
      <c r="AY16" s="79"/>
      <c r="AZ16" s="79"/>
      <c r="BA16" s="79"/>
      <c r="BB16" s="79"/>
      <c r="BC16" s="79"/>
      <c r="BD16" s="79"/>
      <c r="BE16" s="79"/>
      <c r="BF16" s="79"/>
      <c r="BG16" s="79"/>
      <c r="BH16" s="79"/>
      <c r="BI16" s="79"/>
      <c r="BJ16" s="79"/>
      <c r="BK16" s="79"/>
      <c r="BL16" s="79"/>
      <c r="BM16" s="79"/>
      <c r="BN16" s="79"/>
      <c r="BO16" s="79"/>
      <c r="BP16" s="79"/>
      <c r="BQ16" s="79"/>
      <c r="BR16" s="79"/>
      <c r="BS16" s="79"/>
      <c r="BT16" s="79"/>
      <c r="BU16" s="79"/>
      <c r="BV16" s="79"/>
      <c r="BW16" s="79"/>
      <c r="BX16" s="79"/>
      <c r="BY16" s="79"/>
      <c r="BZ16" s="79"/>
      <c r="CA16" s="79"/>
      <c r="CB16" s="79"/>
      <c r="CC16" s="79"/>
      <c r="CD16" s="79"/>
      <c r="CE16" s="79"/>
      <c r="CF16" s="79"/>
      <c r="CG16" s="79"/>
      <c r="CH16" s="79"/>
      <c r="CI16" s="79"/>
      <c r="CJ16" s="79"/>
      <c r="CK16" s="79"/>
      <c r="CL16" s="79"/>
      <c r="CM16" s="79"/>
      <c r="CN16" s="79"/>
      <c r="CO16" s="79"/>
      <c r="CP16" s="79"/>
      <c r="CQ16" s="79"/>
      <c r="CR16" s="79"/>
      <c r="CS16" s="79"/>
      <c r="CT16" s="79"/>
      <c r="CU16" s="79"/>
      <c r="CV16" s="79"/>
      <c r="CW16" s="79"/>
      <c r="CX16" s="79"/>
      <c r="CY16" s="79"/>
      <c r="CZ16" s="79"/>
      <c r="DA16" s="79"/>
      <c r="DB16" s="79"/>
      <c r="DC16" s="79"/>
      <c r="DD16" s="79"/>
      <c r="DE16" s="79"/>
      <c r="DF16" s="79"/>
      <c r="DG16" s="79"/>
      <c r="DH16" s="79"/>
      <c r="DI16" s="79"/>
      <c r="DJ16" s="79"/>
      <c r="DK16" s="79"/>
      <c r="DL16" s="79"/>
      <c r="DM16" s="79"/>
      <c r="DN16" s="79"/>
      <c r="DO16" s="79"/>
      <c r="DP16" s="79"/>
      <c r="DQ16" s="79"/>
      <c r="DR16" s="79"/>
      <c r="DS16" s="79"/>
      <c r="DT16" s="79"/>
      <c r="DU16" s="79"/>
      <c r="DV16" s="79"/>
      <c r="DW16" s="79"/>
      <c r="DX16" s="79"/>
      <c r="DY16" s="79"/>
      <c r="DZ16" s="79"/>
      <c r="EA16" s="79"/>
      <c r="EB16" s="79"/>
      <c r="EC16" s="79"/>
    </row>
    <row r="17" spans="1:133" s="78" customFormat="1" x14ac:dyDescent="0.35">
      <c r="A17" s="80">
        <v>7</v>
      </c>
      <c r="B17" s="80" t="s">
        <v>50</v>
      </c>
      <c r="C17" s="80" t="s">
        <v>51</v>
      </c>
      <c r="D17" s="80" t="s">
        <v>52</v>
      </c>
      <c r="E17" s="80">
        <v>7</v>
      </c>
      <c r="F17" s="80">
        <v>2</v>
      </c>
      <c r="G17" s="80" t="s">
        <v>35</v>
      </c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79"/>
      <c r="X17" s="79"/>
      <c r="Y17" s="79"/>
      <c r="Z17" s="79"/>
      <c r="AA17" s="79"/>
      <c r="AB17" s="79"/>
      <c r="AC17" s="79"/>
      <c r="AD17" s="79"/>
      <c r="AE17" s="79"/>
      <c r="AF17" s="79"/>
      <c r="AG17" s="79"/>
      <c r="AH17" s="79"/>
      <c r="AI17" s="79"/>
      <c r="AJ17" s="79"/>
      <c r="AK17" s="79"/>
      <c r="AL17" s="79"/>
      <c r="AM17" s="79"/>
      <c r="AN17" s="79"/>
      <c r="AO17" s="79"/>
      <c r="AP17" s="79"/>
      <c r="AQ17" s="79"/>
      <c r="AR17" s="79"/>
      <c r="AS17" s="79"/>
      <c r="AT17" s="79"/>
      <c r="AU17" s="79"/>
      <c r="AV17" s="79"/>
      <c r="AW17" s="79"/>
      <c r="AX17" s="79"/>
      <c r="AY17" s="79"/>
      <c r="AZ17" s="79"/>
      <c r="BA17" s="79"/>
      <c r="BB17" s="79"/>
      <c r="BC17" s="79"/>
      <c r="BD17" s="79"/>
      <c r="BE17" s="79"/>
      <c r="BF17" s="79"/>
      <c r="BG17" s="79"/>
      <c r="BH17" s="79"/>
      <c r="BI17" s="79"/>
      <c r="BJ17" s="79"/>
      <c r="BK17" s="79"/>
      <c r="BL17" s="79"/>
      <c r="BM17" s="79"/>
      <c r="BN17" s="79"/>
      <c r="BO17" s="79"/>
      <c r="BP17" s="79"/>
      <c r="BQ17" s="79"/>
      <c r="BR17" s="79"/>
      <c r="BS17" s="79"/>
      <c r="BT17" s="79"/>
      <c r="BU17" s="79"/>
      <c r="BV17" s="79"/>
      <c r="BW17" s="79"/>
      <c r="BX17" s="79"/>
      <c r="BY17" s="79"/>
      <c r="BZ17" s="79"/>
      <c r="CA17" s="79"/>
      <c r="CB17" s="79"/>
      <c r="CC17" s="79"/>
      <c r="CD17" s="79"/>
      <c r="CE17" s="79"/>
      <c r="CF17" s="79"/>
      <c r="CG17" s="79"/>
      <c r="CH17" s="79"/>
      <c r="CI17" s="79"/>
      <c r="CJ17" s="79"/>
      <c r="CK17" s="79"/>
      <c r="CL17" s="79"/>
      <c r="CM17" s="79"/>
      <c r="CN17" s="79"/>
      <c r="CO17" s="79"/>
      <c r="CP17" s="79"/>
      <c r="CQ17" s="79"/>
      <c r="CR17" s="79"/>
      <c r="CS17" s="79"/>
      <c r="CT17" s="79"/>
      <c r="CU17" s="79"/>
      <c r="CV17" s="79"/>
      <c r="CW17" s="79"/>
      <c r="CX17" s="79"/>
      <c r="CY17" s="79"/>
      <c r="CZ17" s="79"/>
      <c r="DA17" s="79"/>
      <c r="DB17" s="79"/>
      <c r="DC17" s="79"/>
      <c r="DD17" s="79"/>
      <c r="DE17" s="79"/>
      <c r="DF17" s="79"/>
      <c r="DG17" s="79"/>
      <c r="DH17" s="79"/>
      <c r="DI17" s="79"/>
      <c r="DJ17" s="79"/>
      <c r="DK17" s="79"/>
      <c r="DL17" s="79"/>
      <c r="DM17" s="79"/>
      <c r="DN17" s="79"/>
      <c r="DO17" s="79"/>
      <c r="DP17" s="79"/>
      <c r="DQ17" s="79"/>
      <c r="DR17" s="79"/>
      <c r="DS17" s="79"/>
      <c r="DT17" s="79"/>
      <c r="DU17" s="79"/>
      <c r="DV17" s="79"/>
      <c r="DW17" s="79"/>
      <c r="DX17" s="79"/>
      <c r="DY17" s="79"/>
      <c r="DZ17" s="79"/>
      <c r="EA17" s="79"/>
      <c r="EB17" s="79"/>
      <c r="EC17" s="79"/>
    </row>
    <row r="18" spans="1:133" s="78" customFormat="1" x14ac:dyDescent="0.35">
      <c r="A18" s="80">
        <v>8</v>
      </c>
      <c r="B18" s="80" t="s">
        <v>53</v>
      </c>
      <c r="C18" s="80" t="s">
        <v>120</v>
      </c>
      <c r="D18" s="80" t="s">
        <v>54</v>
      </c>
      <c r="E18" s="80">
        <v>8</v>
      </c>
      <c r="F18" s="80">
        <v>2</v>
      </c>
      <c r="G18" s="80" t="s">
        <v>35</v>
      </c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79"/>
      <c r="AA18" s="79"/>
      <c r="AB18" s="79"/>
      <c r="AC18" s="79"/>
      <c r="AD18" s="79"/>
      <c r="AE18" s="79"/>
      <c r="AF18" s="79"/>
      <c r="AG18" s="79"/>
      <c r="AH18" s="79"/>
      <c r="AI18" s="79"/>
      <c r="AJ18" s="79"/>
      <c r="AK18" s="79"/>
      <c r="AL18" s="79"/>
      <c r="AM18" s="79"/>
      <c r="AN18" s="79"/>
      <c r="AO18" s="79"/>
      <c r="AP18" s="79"/>
      <c r="AQ18" s="79"/>
      <c r="AR18" s="79"/>
      <c r="AS18" s="79"/>
      <c r="AT18" s="79"/>
      <c r="AU18" s="79"/>
      <c r="AV18" s="79"/>
      <c r="AW18" s="79"/>
      <c r="AX18" s="79"/>
      <c r="AY18" s="79"/>
      <c r="AZ18" s="79"/>
      <c r="BA18" s="79"/>
      <c r="BB18" s="79"/>
      <c r="BC18" s="79"/>
      <c r="BD18" s="79"/>
      <c r="BE18" s="79"/>
      <c r="BF18" s="79"/>
      <c r="BG18" s="79"/>
      <c r="BH18" s="79"/>
      <c r="BI18" s="79"/>
      <c r="BJ18" s="79"/>
      <c r="BK18" s="79"/>
      <c r="BL18" s="79"/>
      <c r="BM18" s="79"/>
      <c r="BN18" s="79"/>
      <c r="BO18" s="79"/>
      <c r="BP18" s="79"/>
      <c r="BQ18" s="79"/>
      <c r="BR18" s="79"/>
      <c r="BS18" s="79"/>
      <c r="BT18" s="79"/>
      <c r="BU18" s="79"/>
      <c r="BV18" s="79"/>
      <c r="BW18" s="79"/>
      <c r="BX18" s="79"/>
      <c r="BY18" s="79"/>
      <c r="BZ18" s="79"/>
      <c r="CA18" s="79"/>
      <c r="CB18" s="79"/>
      <c r="CC18" s="79"/>
      <c r="CD18" s="79"/>
      <c r="CE18" s="79"/>
      <c r="CF18" s="79"/>
      <c r="CG18" s="79"/>
      <c r="CH18" s="79"/>
      <c r="CI18" s="79"/>
      <c r="CJ18" s="79"/>
      <c r="CK18" s="79"/>
      <c r="CL18" s="79"/>
      <c r="CM18" s="79"/>
      <c r="CN18" s="79"/>
      <c r="CO18" s="79"/>
      <c r="CP18" s="79"/>
      <c r="CQ18" s="79"/>
      <c r="CR18" s="79"/>
      <c r="CS18" s="79"/>
      <c r="CT18" s="79"/>
      <c r="CU18" s="79"/>
      <c r="CV18" s="79"/>
      <c r="CW18" s="79"/>
      <c r="CX18" s="79"/>
      <c r="CY18" s="79"/>
      <c r="CZ18" s="79"/>
      <c r="DA18" s="79"/>
      <c r="DB18" s="79"/>
      <c r="DC18" s="79"/>
      <c r="DD18" s="79"/>
      <c r="DE18" s="79"/>
      <c r="DF18" s="79"/>
      <c r="DG18" s="79"/>
      <c r="DH18" s="79"/>
      <c r="DI18" s="79"/>
      <c r="DJ18" s="79"/>
      <c r="DK18" s="79"/>
      <c r="DL18" s="79"/>
      <c r="DM18" s="79"/>
      <c r="DN18" s="79"/>
      <c r="DO18" s="79"/>
      <c r="DP18" s="79"/>
      <c r="DQ18" s="79"/>
      <c r="DR18" s="79"/>
      <c r="DS18" s="79"/>
      <c r="DT18" s="79"/>
      <c r="DU18" s="79"/>
      <c r="DV18" s="79"/>
      <c r="DW18" s="79"/>
      <c r="DX18" s="79"/>
      <c r="DY18" s="79"/>
      <c r="DZ18" s="79"/>
      <c r="EA18" s="79"/>
      <c r="EB18" s="79"/>
      <c r="EC18" s="79"/>
    </row>
    <row r="19" spans="1:133" s="78" customFormat="1" x14ac:dyDescent="0.35">
      <c r="A19" s="80">
        <v>9</v>
      </c>
      <c r="B19" s="80" t="s">
        <v>55</v>
      </c>
      <c r="C19" s="80" t="s">
        <v>56</v>
      </c>
      <c r="D19" s="80" t="s">
        <v>57</v>
      </c>
      <c r="E19" s="80">
        <v>9</v>
      </c>
      <c r="F19" s="80">
        <v>3</v>
      </c>
      <c r="G19" s="80" t="s">
        <v>35</v>
      </c>
      <c r="H19" s="79"/>
      <c r="I19" s="79"/>
      <c r="J19" s="79"/>
      <c r="K19" s="79"/>
      <c r="L19" s="79"/>
      <c r="M19" s="79"/>
      <c r="N19" s="79"/>
      <c r="O19" s="79"/>
      <c r="P19" s="79"/>
      <c r="Q19" s="79"/>
      <c r="R19" s="79"/>
      <c r="S19" s="79"/>
      <c r="T19" s="79"/>
      <c r="U19" s="79"/>
      <c r="V19" s="79"/>
      <c r="W19" s="79"/>
      <c r="X19" s="79"/>
      <c r="Y19" s="79"/>
      <c r="Z19" s="79"/>
      <c r="AA19" s="79"/>
      <c r="AB19" s="79"/>
      <c r="AC19" s="79"/>
      <c r="AD19" s="79"/>
      <c r="AE19" s="79"/>
      <c r="AF19" s="79"/>
      <c r="AG19" s="79"/>
      <c r="AH19" s="79"/>
      <c r="AI19" s="79"/>
      <c r="AJ19" s="79"/>
      <c r="AK19" s="79"/>
      <c r="AL19" s="79"/>
      <c r="AM19" s="79"/>
      <c r="AN19" s="79"/>
      <c r="AO19" s="79"/>
      <c r="AP19" s="79"/>
      <c r="AQ19" s="79"/>
      <c r="AR19" s="79"/>
      <c r="AS19" s="79"/>
      <c r="AT19" s="79"/>
      <c r="AU19" s="79"/>
      <c r="AV19" s="79"/>
      <c r="AW19" s="79"/>
      <c r="AX19" s="79"/>
      <c r="AY19" s="79"/>
      <c r="AZ19" s="79"/>
      <c r="BA19" s="79"/>
      <c r="BB19" s="79"/>
      <c r="BC19" s="79"/>
      <c r="BD19" s="79"/>
      <c r="BE19" s="79"/>
      <c r="BF19" s="79"/>
      <c r="BG19" s="79"/>
      <c r="BH19" s="79"/>
      <c r="BI19" s="79"/>
      <c r="BJ19" s="79"/>
      <c r="BK19" s="79"/>
      <c r="BL19" s="79"/>
      <c r="BM19" s="79"/>
      <c r="BN19" s="79"/>
      <c r="BO19" s="79"/>
      <c r="BP19" s="79"/>
      <c r="BQ19" s="79"/>
      <c r="BR19" s="79"/>
      <c r="BS19" s="79"/>
      <c r="BT19" s="79"/>
      <c r="BU19" s="79"/>
      <c r="BV19" s="79"/>
      <c r="BW19" s="79"/>
      <c r="BX19" s="79"/>
      <c r="BY19" s="79"/>
      <c r="BZ19" s="79"/>
      <c r="CA19" s="79"/>
      <c r="CB19" s="79"/>
      <c r="CC19" s="79"/>
      <c r="CD19" s="79"/>
      <c r="CE19" s="79"/>
      <c r="CF19" s="79"/>
      <c r="CG19" s="79"/>
      <c r="CH19" s="79"/>
      <c r="CI19" s="79"/>
      <c r="CJ19" s="79"/>
      <c r="CK19" s="79"/>
      <c r="CL19" s="79"/>
      <c r="CM19" s="79"/>
      <c r="CN19" s="79"/>
      <c r="CO19" s="79"/>
      <c r="CP19" s="79"/>
      <c r="CQ19" s="79"/>
      <c r="CR19" s="79"/>
      <c r="CS19" s="79"/>
      <c r="CT19" s="79"/>
      <c r="CU19" s="79"/>
      <c r="CV19" s="79"/>
      <c r="CW19" s="79"/>
      <c r="CX19" s="79"/>
      <c r="CY19" s="79"/>
      <c r="CZ19" s="79"/>
      <c r="DA19" s="79"/>
      <c r="DB19" s="79"/>
      <c r="DC19" s="79"/>
      <c r="DD19" s="79"/>
      <c r="DE19" s="79"/>
      <c r="DF19" s="79"/>
      <c r="DG19" s="79"/>
      <c r="DH19" s="79"/>
      <c r="DI19" s="79"/>
      <c r="DJ19" s="79"/>
      <c r="DK19" s="79"/>
      <c r="DL19" s="79"/>
      <c r="DM19" s="79"/>
      <c r="DN19" s="79"/>
      <c r="DO19" s="79"/>
      <c r="DP19" s="79"/>
      <c r="DQ19" s="79"/>
      <c r="DR19" s="79"/>
      <c r="DS19" s="79"/>
      <c r="DT19" s="79"/>
      <c r="DU19" s="79"/>
      <c r="DV19" s="79"/>
      <c r="DW19" s="79"/>
      <c r="DX19" s="79"/>
      <c r="DY19" s="79"/>
      <c r="DZ19" s="79"/>
      <c r="EA19" s="79"/>
      <c r="EB19" s="79"/>
      <c r="EC19" s="79"/>
    </row>
    <row r="20" spans="1:133" s="78" customFormat="1" x14ac:dyDescent="0.35">
      <c r="A20" s="80">
        <v>10</v>
      </c>
      <c r="B20" s="80" t="s">
        <v>58</v>
      </c>
      <c r="C20" s="80" t="s">
        <v>59</v>
      </c>
      <c r="D20" s="80" t="s">
        <v>60</v>
      </c>
      <c r="E20" s="80">
        <v>10</v>
      </c>
      <c r="F20" s="80">
        <v>3</v>
      </c>
      <c r="G20" s="80" t="s">
        <v>35</v>
      </c>
      <c r="H20" s="79"/>
      <c r="I20" s="79"/>
      <c r="J20" s="79"/>
      <c r="K20" s="79"/>
      <c r="L20" s="79"/>
      <c r="M20" s="79"/>
      <c r="N20" s="79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  <c r="AA20" s="79"/>
      <c r="AB20" s="79"/>
      <c r="AC20" s="79"/>
      <c r="AD20" s="79"/>
      <c r="AE20" s="79"/>
      <c r="AF20" s="79"/>
      <c r="AG20" s="79"/>
      <c r="AH20" s="79"/>
      <c r="AI20" s="79"/>
      <c r="AJ20" s="79"/>
      <c r="AK20" s="79"/>
      <c r="AL20" s="79"/>
      <c r="AM20" s="79"/>
      <c r="AN20" s="79"/>
      <c r="AO20" s="79"/>
      <c r="AP20" s="79"/>
      <c r="AQ20" s="79"/>
      <c r="AR20" s="79"/>
      <c r="AS20" s="79"/>
      <c r="AT20" s="79"/>
      <c r="AU20" s="79"/>
      <c r="AV20" s="79"/>
      <c r="AW20" s="79"/>
      <c r="AX20" s="79"/>
      <c r="AY20" s="79"/>
      <c r="AZ20" s="79"/>
      <c r="BA20" s="79"/>
      <c r="BB20" s="79"/>
      <c r="BC20" s="79"/>
      <c r="BD20" s="79"/>
      <c r="BE20" s="79"/>
      <c r="BF20" s="79"/>
      <c r="BG20" s="79"/>
      <c r="BH20" s="79"/>
      <c r="BI20" s="79"/>
      <c r="BJ20" s="79"/>
      <c r="BK20" s="79"/>
      <c r="BL20" s="79"/>
      <c r="BM20" s="79"/>
      <c r="BN20" s="79"/>
      <c r="BO20" s="79"/>
      <c r="BP20" s="79"/>
      <c r="BQ20" s="79"/>
      <c r="BR20" s="79"/>
      <c r="BS20" s="79"/>
      <c r="BT20" s="79"/>
      <c r="BU20" s="79"/>
      <c r="BV20" s="79"/>
      <c r="BW20" s="79"/>
      <c r="BX20" s="79"/>
      <c r="BY20" s="79"/>
      <c r="BZ20" s="79"/>
      <c r="CA20" s="79"/>
      <c r="CB20" s="79"/>
      <c r="CC20" s="79"/>
      <c r="CD20" s="79"/>
      <c r="CE20" s="79"/>
      <c r="CF20" s="79"/>
      <c r="CG20" s="79"/>
      <c r="CH20" s="79"/>
      <c r="CI20" s="79"/>
      <c r="CJ20" s="79"/>
      <c r="CK20" s="79"/>
      <c r="CL20" s="79"/>
      <c r="CM20" s="79"/>
      <c r="CN20" s="79"/>
      <c r="CO20" s="79"/>
      <c r="CP20" s="79"/>
      <c r="CQ20" s="79"/>
      <c r="CR20" s="79"/>
      <c r="CS20" s="79"/>
      <c r="CT20" s="79"/>
      <c r="CU20" s="79"/>
      <c r="CV20" s="79"/>
      <c r="CW20" s="79"/>
      <c r="CX20" s="79"/>
      <c r="CY20" s="79"/>
      <c r="CZ20" s="79"/>
      <c r="DA20" s="79"/>
      <c r="DB20" s="79"/>
      <c r="DC20" s="79"/>
      <c r="DD20" s="79"/>
      <c r="DE20" s="79"/>
      <c r="DF20" s="79"/>
      <c r="DG20" s="79"/>
      <c r="DH20" s="79"/>
      <c r="DI20" s="79"/>
      <c r="DJ20" s="79"/>
      <c r="DK20" s="79"/>
      <c r="DL20" s="79"/>
      <c r="DM20" s="79"/>
      <c r="DN20" s="79"/>
      <c r="DO20" s="79"/>
      <c r="DP20" s="79"/>
      <c r="DQ20" s="79"/>
      <c r="DR20" s="79"/>
      <c r="DS20" s="79"/>
      <c r="DT20" s="79"/>
      <c r="DU20" s="79"/>
      <c r="DV20" s="79"/>
      <c r="DW20" s="79"/>
      <c r="DX20" s="79"/>
      <c r="DY20" s="79"/>
      <c r="DZ20" s="79"/>
      <c r="EA20" s="79"/>
      <c r="EB20" s="79"/>
      <c r="EC20" s="79"/>
    </row>
    <row r="21" spans="1:133" s="78" customFormat="1" x14ac:dyDescent="0.35">
      <c r="A21" s="80">
        <v>11</v>
      </c>
      <c r="B21" s="80" t="s">
        <v>61</v>
      </c>
      <c r="C21" s="80" t="s">
        <v>62</v>
      </c>
      <c r="D21" s="80" t="s">
        <v>63</v>
      </c>
      <c r="E21" s="80">
        <v>11</v>
      </c>
      <c r="F21" s="80">
        <v>3</v>
      </c>
      <c r="G21" s="80" t="s">
        <v>35</v>
      </c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79"/>
      <c r="AB21" s="79"/>
      <c r="AC21" s="79"/>
      <c r="AD21" s="79"/>
      <c r="AE21" s="79"/>
      <c r="AF21" s="79"/>
      <c r="AG21" s="79"/>
      <c r="AH21" s="79"/>
      <c r="AI21" s="79"/>
      <c r="AJ21" s="79"/>
      <c r="AK21" s="79"/>
      <c r="AL21" s="79"/>
      <c r="AM21" s="79"/>
      <c r="AN21" s="79"/>
      <c r="AO21" s="79"/>
      <c r="AP21" s="79"/>
      <c r="AQ21" s="79"/>
      <c r="AR21" s="79"/>
      <c r="AS21" s="79"/>
      <c r="AT21" s="79"/>
      <c r="AU21" s="79"/>
      <c r="AV21" s="79"/>
      <c r="AW21" s="79"/>
      <c r="AX21" s="79"/>
      <c r="AY21" s="79"/>
      <c r="AZ21" s="79"/>
      <c r="BA21" s="79"/>
      <c r="BB21" s="79"/>
      <c r="BC21" s="79"/>
      <c r="BD21" s="79"/>
      <c r="BE21" s="79"/>
      <c r="BF21" s="79"/>
      <c r="BG21" s="79"/>
      <c r="BH21" s="79"/>
      <c r="BI21" s="79"/>
      <c r="BJ21" s="79"/>
      <c r="BK21" s="79"/>
      <c r="BL21" s="79"/>
      <c r="BM21" s="79"/>
      <c r="BN21" s="79"/>
      <c r="BO21" s="79"/>
      <c r="BP21" s="79"/>
      <c r="BQ21" s="79"/>
      <c r="BR21" s="79"/>
      <c r="BS21" s="79"/>
      <c r="BT21" s="79"/>
      <c r="BU21" s="79"/>
      <c r="BV21" s="79"/>
      <c r="BW21" s="79"/>
      <c r="BX21" s="79"/>
      <c r="BY21" s="79"/>
      <c r="BZ21" s="79"/>
      <c r="CA21" s="79"/>
      <c r="CB21" s="79"/>
      <c r="CC21" s="79"/>
      <c r="CD21" s="79"/>
      <c r="CE21" s="79"/>
      <c r="CF21" s="79"/>
      <c r="CG21" s="79"/>
      <c r="CH21" s="79"/>
      <c r="CI21" s="79"/>
      <c r="CJ21" s="79"/>
      <c r="CK21" s="79"/>
      <c r="CL21" s="79"/>
      <c r="CM21" s="79"/>
      <c r="CN21" s="79"/>
      <c r="CO21" s="79"/>
      <c r="CP21" s="79"/>
      <c r="CQ21" s="79"/>
      <c r="CR21" s="79"/>
      <c r="CS21" s="79"/>
      <c r="CT21" s="79"/>
      <c r="CU21" s="79"/>
      <c r="CV21" s="79"/>
      <c r="CW21" s="79"/>
      <c r="CX21" s="79"/>
      <c r="CY21" s="79"/>
      <c r="CZ21" s="79"/>
      <c r="DA21" s="79"/>
      <c r="DB21" s="79"/>
      <c r="DC21" s="79"/>
      <c r="DD21" s="79"/>
      <c r="DE21" s="79"/>
      <c r="DF21" s="79"/>
      <c r="DG21" s="79"/>
      <c r="DH21" s="79"/>
      <c r="DI21" s="79"/>
      <c r="DJ21" s="79"/>
      <c r="DK21" s="79"/>
      <c r="DL21" s="79"/>
      <c r="DM21" s="79"/>
      <c r="DN21" s="79"/>
      <c r="DO21" s="79"/>
      <c r="DP21" s="79"/>
      <c r="DQ21" s="79"/>
      <c r="DR21" s="79"/>
      <c r="DS21" s="79"/>
      <c r="DT21" s="79"/>
      <c r="DU21" s="79"/>
      <c r="DV21" s="79"/>
      <c r="DW21" s="79"/>
      <c r="DX21" s="79"/>
      <c r="DY21" s="79"/>
      <c r="DZ21" s="79"/>
      <c r="EA21" s="79"/>
      <c r="EB21" s="79"/>
      <c r="EC21" s="79"/>
    </row>
    <row r="22" spans="1:133" x14ac:dyDescent="0.45">
      <c r="A22" s="80">
        <v>12</v>
      </c>
      <c r="B22" s="80" t="s">
        <v>64</v>
      </c>
      <c r="C22" s="80" t="s">
        <v>121</v>
      </c>
      <c r="D22" s="80" t="s">
        <v>65</v>
      </c>
      <c r="E22" s="80">
        <v>12</v>
      </c>
      <c r="F22" s="80">
        <v>3</v>
      </c>
      <c r="G22" s="80" t="s">
        <v>35</v>
      </c>
    </row>
    <row r="23" spans="1:133" x14ac:dyDescent="0.45">
      <c r="A23" s="80">
        <v>13</v>
      </c>
      <c r="B23" s="80" t="s">
        <v>66</v>
      </c>
      <c r="C23" s="80" t="s">
        <v>67</v>
      </c>
      <c r="D23" s="80" t="s">
        <v>68</v>
      </c>
      <c r="E23" s="80">
        <v>13</v>
      </c>
      <c r="F23" s="80">
        <v>3</v>
      </c>
      <c r="G23" s="80" t="s">
        <v>35</v>
      </c>
    </row>
    <row r="24" spans="1:133" x14ac:dyDescent="0.45">
      <c r="A24" s="80">
        <v>14</v>
      </c>
      <c r="B24" s="80" t="s">
        <v>69</v>
      </c>
      <c r="C24" s="80" t="s">
        <v>70</v>
      </c>
      <c r="D24" s="80" t="s">
        <v>71</v>
      </c>
      <c r="E24" s="80">
        <v>14</v>
      </c>
      <c r="F24" s="80">
        <v>4</v>
      </c>
      <c r="G24" s="80" t="s">
        <v>35</v>
      </c>
    </row>
    <row r="25" spans="1:133" x14ac:dyDescent="0.45">
      <c r="A25" s="80">
        <v>15</v>
      </c>
      <c r="B25" s="80" t="s">
        <v>72</v>
      </c>
      <c r="C25" s="80" t="s">
        <v>73</v>
      </c>
      <c r="D25" s="80" t="s">
        <v>74</v>
      </c>
      <c r="E25" s="80">
        <v>15</v>
      </c>
      <c r="F25" s="80">
        <v>4</v>
      </c>
      <c r="G25" s="80" t="s">
        <v>35</v>
      </c>
    </row>
    <row r="26" spans="1:133" x14ac:dyDescent="0.45">
      <c r="A26" s="80">
        <v>16</v>
      </c>
      <c r="B26" s="80" t="s">
        <v>75</v>
      </c>
      <c r="C26" s="80" t="s">
        <v>76</v>
      </c>
      <c r="D26" s="80" t="s">
        <v>77</v>
      </c>
      <c r="E26" s="80">
        <v>16</v>
      </c>
      <c r="F26" s="80">
        <v>4</v>
      </c>
      <c r="G26" s="80" t="s">
        <v>35</v>
      </c>
    </row>
    <row r="27" spans="1:133" x14ac:dyDescent="0.45">
      <c r="A27" s="80">
        <v>17</v>
      </c>
      <c r="B27" s="80" t="s">
        <v>78</v>
      </c>
      <c r="C27" s="80" t="s">
        <v>122</v>
      </c>
      <c r="D27" s="80" t="s">
        <v>79</v>
      </c>
      <c r="E27" s="80">
        <v>17</v>
      </c>
      <c r="F27" s="80">
        <v>4</v>
      </c>
      <c r="G27" s="80" t="s">
        <v>35</v>
      </c>
    </row>
    <row r="28" spans="1:133" x14ac:dyDescent="0.45">
      <c r="A28" s="80">
        <v>18</v>
      </c>
      <c r="B28" s="80" t="s">
        <v>80</v>
      </c>
      <c r="C28" s="80" t="s">
        <v>81</v>
      </c>
      <c r="D28" s="80" t="s">
        <v>82</v>
      </c>
      <c r="E28" s="80">
        <v>18</v>
      </c>
      <c r="F28" s="80">
        <v>5</v>
      </c>
      <c r="G28" s="80" t="s">
        <v>35</v>
      </c>
    </row>
    <row r="29" spans="1:133" x14ac:dyDescent="0.45">
      <c r="A29" s="80">
        <v>19</v>
      </c>
      <c r="B29" s="80" t="s">
        <v>83</v>
      </c>
      <c r="C29" s="80" t="s">
        <v>84</v>
      </c>
      <c r="D29" s="80" t="s">
        <v>85</v>
      </c>
      <c r="E29" s="80">
        <v>19</v>
      </c>
      <c r="F29" s="80">
        <v>5</v>
      </c>
      <c r="G29" s="80" t="s">
        <v>35</v>
      </c>
    </row>
    <row r="30" spans="1:133" x14ac:dyDescent="0.45">
      <c r="A30" s="80">
        <v>20</v>
      </c>
      <c r="B30" s="80" t="s">
        <v>86</v>
      </c>
      <c r="C30" s="80" t="s">
        <v>87</v>
      </c>
      <c r="D30" s="80" t="s">
        <v>88</v>
      </c>
      <c r="E30" s="80">
        <v>20</v>
      </c>
      <c r="F30" s="80">
        <v>6</v>
      </c>
      <c r="G30" s="80" t="s">
        <v>35</v>
      </c>
    </row>
    <row r="31" spans="1:133" x14ac:dyDescent="0.45">
      <c r="A31" s="80">
        <v>21</v>
      </c>
      <c r="B31" s="80" t="s">
        <v>89</v>
      </c>
      <c r="C31" s="80" t="s">
        <v>90</v>
      </c>
      <c r="D31" s="87" t="s">
        <v>117</v>
      </c>
      <c r="E31" s="80">
        <v>21</v>
      </c>
      <c r="F31" s="80">
        <v>7</v>
      </c>
      <c r="G31" s="80" t="s">
        <v>35</v>
      </c>
    </row>
    <row r="32" spans="1:133" x14ac:dyDescent="0.45">
      <c r="A32" s="80">
        <v>22</v>
      </c>
      <c r="B32" s="80" t="s">
        <v>91</v>
      </c>
      <c r="C32" s="80" t="s">
        <v>92</v>
      </c>
      <c r="D32" s="80" t="s">
        <v>93</v>
      </c>
      <c r="E32" s="80">
        <v>22</v>
      </c>
      <c r="F32" s="80">
        <v>7</v>
      </c>
      <c r="G32" s="80" t="s">
        <v>35</v>
      </c>
    </row>
    <row r="33" spans="1:7" x14ac:dyDescent="0.45">
      <c r="A33" s="80">
        <v>23</v>
      </c>
      <c r="B33" s="80" t="s">
        <v>94</v>
      </c>
      <c r="C33" s="80" t="s">
        <v>95</v>
      </c>
      <c r="D33" s="80" t="s">
        <v>96</v>
      </c>
      <c r="E33" s="80">
        <v>23</v>
      </c>
      <c r="F33" s="80">
        <v>6</v>
      </c>
      <c r="G33" s="80" t="s">
        <v>35</v>
      </c>
    </row>
    <row r="34" spans="1:7" x14ac:dyDescent="0.45">
      <c r="A34" s="80">
        <v>24</v>
      </c>
      <c r="B34" s="80" t="s">
        <v>97</v>
      </c>
      <c r="C34" s="80" t="s">
        <v>98</v>
      </c>
      <c r="D34" s="80" t="s">
        <v>99</v>
      </c>
      <c r="E34" s="80">
        <v>24</v>
      </c>
      <c r="F34" s="80">
        <v>6</v>
      </c>
      <c r="G34" s="80" t="s">
        <v>35</v>
      </c>
    </row>
    <row r="35" spans="1:7" x14ac:dyDescent="0.45">
      <c r="A35" s="80">
        <v>25</v>
      </c>
      <c r="B35" s="80" t="s">
        <v>100</v>
      </c>
      <c r="C35" s="80" t="s">
        <v>101</v>
      </c>
      <c r="D35" s="80" t="s">
        <v>102</v>
      </c>
      <c r="E35" s="80">
        <v>25</v>
      </c>
      <c r="F35" s="80">
        <v>7</v>
      </c>
      <c r="G35" s="80" t="s">
        <v>35</v>
      </c>
    </row>
    <row r="36" spans="1:7" x14ac:dyDescent="0.45">
      <c r="A36" s="60"/>
      <c r="B36" s="72"/>
      <c r="C36" s="72"/>
      <c r="D36" s="62"/>
      <c r="E36" s="61"/>
      <c r="F36" s="61"/>
      <c r="G36" s="61"/>
    </row>
    <row r="37" spans="1:7" x14ac:dyDescent="0.45">
      <c r="A37" s="65"/>
      <c r="B37" s="73"/>
      <c r="C37" s="73"/>
      <c r="D37" s="63"/>
      <c r="E37" s="64"/>
      <c r="F37" s="64"/>
      <c r="G37" s="64"/>
    </row>
    <row r="38" spans="1:7" x14ac:dyDescent="0.45">
      <c r="A38" s="65"/>
      <c r="B38" s="73"/>
      <c r="C38" s="73"/>
      <c r="D38" s="63"/>
      <c r="E38" s="64"/>
      <c r="F38" s="64"/>
      <c r="G38" s="64"/>
    </row>
    <row r="39" spans="1:7" x14ac:dyDescent="0.45">
      <c r="A39" s="65"/>
      <c r="B39" s="73"/>
      <c r="C39" s="73"/>
      <c r="D39" s="63"/>
      <c r="E39" s="64"/>
      <c r="F39" s="64"/>
      <c r="G39" s="64"/>
    </row>
  </sheetData>
  <customSheetViews>
    <customSheetView guid="{988818D5-2AEF-4A9A-A55E-18240173EC63}" showAutoFilter="1">
      <selection activeCell="B43" sqref="B43"/>
      <pageMargins left="0" right="0" top="0" bottom="0" header="0" footer="0"/>
      <pageSetup orientation="portrait" r:id="rId1"/>
      <headerFooter alignWithMargins="0"/>
      <autoFilter ref="B1:F1" xr:uid="{ADBFD323-B049-43C3-84FD-CC1C91DDA4F9}"/>
    </customSheetView>
    <customSheetView guid="{AF9CDD9E-3CB3-EE48-8887-F1090B6AE042}" scale="150" showAutoFilter="1" topLeftCell="B36">
      <selection activeCell="C41" sqref="C41"/>
      <pageMargins left="0" right="0" top="0" bottom="0" header="0" footer="0"/>
      <pageSetup orientation="portrait"/>
      <headerFooter alignWithMargins="0"/>
      <autoFilter ref="B1:F1" xr:uid="{F0A0F661-31D4-43AE-9A22-38A301CEFBDD}"/>
    </customSheetView>
    <customSheetView guid="{F117AA09-D9DE-4D2E-A2DF-77AB3D7617C3}" showAutoFilter="1">
      <selection activeCell="B7" sqref="B7"/>
      <pageMargins left="0" right="0" top="0" bottom="0" header="0" footer="0"/>
      <pageSetup orientation="portrait" r:id="rId2"/>
      <headerFooter alignWithMargins="0"/>
      <autoFilter ref="B1:F1" xr:uid="{59B3B2B9-0463-4769-9C92-6614F16A4409}"/>
    </customSheetView>
  </customSheetViews>
  <phoneticPr fontId="5" type="noConversion"/>
  <pageMargins left="0.75" right="0.75" top="1" bottom="1" header="0.5" footer="0.5"/>
  <pageSetup orientation="portrait" r:id="rId3"/>
  <headerFooter alignWithMargins="0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AAAEB-B5F0-468C-BFDD-E9B5D3EFF0AD}">
  <dimension ref="A2:S44"/>
  <sheetViews>
    <sheetView zoomScale="90" zoomScaleNormal="90" workbookViewId="0">
      <selection activeCell="E4" sqref="E4:J4"/>
    </sheetView>
  </sheetViews>
  <sheetFormatPr defaultColWidth="11.46484375" defaultRowHeight="12.75" x14ac:dyDescent="0.35"/>
  <cols>
    <col min="1" max="2" width="6.86328125" style="5" customWidth="1"/>
    <col min="3" max="3" width="33.86328125" style="6" customWidth="1"/>
    <col min="4" max="4" width="21.1328125" style="6" customWidth="1"/>
    <col min="5" max="5" width="10.46484375" style="4" customWidth="1"/>
    <col min="6" max="12" width="11.46484375" style="4" customWidth="1"/>
    <col min="13" max="16384" width="11.46484375" style="5"/>
  </cols>
  <sheetData>
    <row r="2" spans="1:12" customFormat="1" ht="43.5" customHeight="1" x14ac:dyDescent="0.35">
      <c r="A2" s="90" t="str">
        <f>CONCATENATE("Sprint #",E5, "Tracking Sheet")</f>
        <v>Sprint #0Tracking Sheet</v>
      </c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</row>
    <row r="4" spans="1:12" customFormat="1" ht="13.15" x14ac:dyDescent="0.4">
      <c r="A4" s="2"/>
      <c r="B4" s="5"/>
      <c r="C4" s="35" t="s">
        <v>12</v>
      </c>
      <c r="D4" s="49"/>
      <c r="E4" s="91" t="s">
        <v>103</v>
      </c>
      <c r="F4" s="92"/>
      <c r="G4" s="92"/>
      <c r="H4" s="92"/>
      <c r="I4" s="92"/>
      <c r="J4" s="93"/>
    </row>
    <row r="5" spans="1:12" ht="13.15" x14ac:dyDescent="0.35">
      <c r="C5" s="11" t="s">
        <v>20</v>
      </c>
      <c r="D5" s="11"/>
      <c r="E5" s="22">
        <v>0</v>
      </c>
    </row>
    <row r="6" spans="1:12" ht="13.15" x14ac:dyDescent="0.35">
      <c r="C6" s="11" t="s">
        <v>21</v>
      </c>
      <c r="D6" s="11"/>
      <c r="E6" s="23">
        <v>46111</v>
      </c>
    </row>
    <row r="7" spans="1:12" ht="13.5" thickBot="1" x14ac:dyDescent="0.4">
      <c r="C7" s="3"/>
      <c r="D7" s="11" t="s">
        <v>31</v>
      </c>
      <c r="E7" s="22">
        <v>2</v>
      </c>
    </row>
    <row r="8" spans="1:12" ht="13.5" thickBot="1" x14ac:dyDescent="0.4">
      <c r="F8" s="94" t="s">
        <v>22</v>
      </c>
      <c r="G8" s="95"/>
      <c r="H8" s="95"/>
      <c r="I8" s="95"/>
      <c r="J8" s="95"/>
      <c r="K8" s="95"/>
      <c r="L8" s="96"/>
    </row>
    <row r="9" spans="1:12" ht="12.75" customHeight="1" thickBot="1" x14ac:dyDescent="0.4">
      <c r="F9" s="55">
        <v>1</v>
      </c>
      <c r="G9" s="56">
        <v>2</v>
      </c>
      <c r="H9" s="55">
        <v>3</v>
      </c>
      <c r="I9" s="56">
        <v>4</v>
      </c>
      <c r="J9" s="55">
        <v>5</v>
      </c>
      <c r="K9" s="56">
        <v>6</v>
      </c>
      <c r="L9" s="55">
        <v>7</v>
      </c>
    </row>
    <row r="10" spans="1:12" s="3" customFormat="1" ht="27" customHeight="1" x14ac:dyDescent="0.35">
      <c r="A10" s="17" t="s">
        <v>23</v>
      </c>
      <c r="B10" s="19" t="s">
        <v>16</v>
      </c>
      <c r="C10" s="18" t="s">
        <v>24</v>
      </c>
      <c r="D10" s="50" t="s">
        <v>29</v>
      </c>
      <c r="E10" s="20" t="s">
        <v>25</v>
      </c>
      <c r="F10" s="28">
        <f>E6</f>
        <v>46111</v>
      </c>
      <c r="G10" s="21">
        <f>F10+1</f>
        <v>46112</v>
      </c>
      <c r="H10" s="21">
        <f t="shared" ref="H10:L10" si="0">G10+1</f>
        <v>46113</v>
      </c>
      <c r="I10" s="21">
        <f t="shared" si="0"/>
        <v>46114</v>
      </c>
      <c r="J10" s="21">
        <f t="shared" si="0"/>
        <v>46115</v>
      </c>
      <c r="K10" s="21">
        <f t="shared" si="0"/>
        <v>46116</v>
      </c>
      <c r="L10" s="21">
        <f t="shared" si="0"/>
        <v>46117</v>
      </c>
    </row>
    <row r="11" spans="1:12" s="34" customFormat="1" ht="15.4" x14ac:dyDescent="0.45">
      <c r="A11" s="30"/>
      <c r="B11" s="66"/>
      <c r="C11" s="83" t="s">
        <v>107</v>
      </c>
      <c r="D11" s="85" t="s">
        <v>114</v>
      </c>
      <c r="E11" s="86">
        <v>3</v>
      </c>
      <c r="F11" s="33"/>
      <c r="G11" s="33">
        <v>3</v>
      </c>
      <c r="H11" s="33"/>
      <c r="I11" s="33"/>
      <c r="J11" s="31"/>
      <c r="K11" s="31"/>
      <c r="L11" s="31"/>
    </row>
    <row r="12" spans="1:12" s="34" customFormat="1" ht="15.4" x14ac:dyDescent="0.45">
      <c r="A12" s="30"/>
      <c r="B12" s="66"/>
      <c r="C12" s="83" t="s">
        <v>108</v>
      </c>
      <c r="D12" s="85" t="s">
        <v>115</v>
      </c>
      <c r="E12" s="86">
        <v>2</v>
      </c>
      <c r="F12" s="33" t="s">
        <v>113</v>
      </c>
      <c r="G12" s="33"/>
      <c r="H12" s="33">
        <v>1</v>
      </c>
      <c r="I12" s="33">
        <v>1</v>
      </c>
      <c r="J12" s="31"/>
      <c r="K12" s="31"/>
      <c r="L12" s="31"/>
    </row>
    <row r="13" spans="1:12" s="34" customFormat="1" ht="14.25" x14ac:dyDescent="0.45">
      <c r="A13" s="30"/>
      <c r="B13" s="48"/>
      <c r="C13" s="83" t="s">
        <v>109</v>
      </c>
      <c r="D13" s="85" t="s">
        <v>114</v>
      </c>
      <c r="E13" s="86">
        <v>2</v>
      </c>
      <c r="F13" s="33" t="s">
        <v>113</v>
      </c>
      <c r="G13" s="31">
        <v>1</v>
      </c>
      <c r="H13" s="31"/>
      <c r="I13" s="31">
        <v>1</v>
      </c>
      <c r="J13" s="31"/>
      <c r="K13" s="31"/>
      <c r="L13" s="31"/>
    </row>
    <row r="14" spans="1:12" s="34" customFormat="1" ht="14.25" x14ac:dyDescent="0.45">
      <c r="A14" s="30"/>
      <c r="B14" s="48"/>
      <c r="C14" s="83" t="s">
        <v>110</v>
      </c>
      <c r="D14" s="85" t="s">
        <v>115</v>
      </c>
      <c r="E14" s="86">
        <v>3</v>
      </c>
      <c r="F14" s="33"/>
      <c r="G14" s="31" t="s">
        <v>113</v>
      </c>
      <c r="H14" s="31">
        <v>1</v>
      </c>
      <c r="I14" s="31">
        <v>1</v>
      </c>
      <c r="J14" s="31">
        <v>1</v>
      </c>
      <c r="K14" s="31" t="s">
        <v>113</v>
      </c>
      <c r="L14" s="31"/>
    </row>
    <row r="15" spans="1:12" s="34" customFormat="1" ht="28.5" x14ac:dyDescent="0.45">
      <c r="A15" s="30"/>
      <c r="B15" s="48"/>
      <c r="C15" s="84" t="s">
        <v>111</v>
      </c>
      <c r="D15" s="85" t="s">
        <v>116</v>
      </c>
      <c r="E15" s="86">
        <v>3</v>
      </c>
      <c r="F15" s="33"/>
      <c r="G15" s="31" t="s">
        <v>113</v>
      </c>
      <c r="H15" s="31">
        <v>1</v>
      </c>
      <c r="I15" s="31">
        <v>1</v>
      </c>
      <c r="J15" s="31">
        <v>1</v>
      </c>
      <c r="K15" s="31"/>
      <c r="L15" s="31"/>
    </row>
    <row r="16" spans="1:12" s="34" customFormat="1" ht="14.25" x14ac:dyDescent="0.45">
      <c r="A16" s="30"/>
      <c r="B16" s="48"/>
      <c r="C16" s="83" t="s">
        <v>112</v>
      </c>
      <c r="D16" s="85" t="s">
        <v>116</v>
      </c>
      <c r="E16" s="86">
        <v>2</v>
      </c>
      <c r="F16" s="33"/>
      <c r="G16" s="31" t="s">
        <v>113</v>
      </c>
      <c r="H16" s="31"/>
      <c r="I16" s="31"/>
      <c r="J16" s="31">
        <v>1</v>
      </c>
      <c r="K16" s="31">
        <v>1</v>
      </c>
      <c r="L16" s="31"/>
    </row>
    <row r="17" spans="1:19" s="8" customFormat="1" ht="14.25" x14ac:dyDescent="0.45">
      <c r="A17" s="30"/>
      <c r="B17" s="48"/>
      <c r="C17" s="83" t="s">
        <v>113</v>
      </c>
      <c r="D17" s="52"/>
      <c r="E17" s="29"/>
      <c r="F17" s="33"/>
      <c r="G17" s="25"/>
      <c r="H17" s="25"/>
      <c r="I17" s="25"/>
      <c r="J17" s="25"/>
      <c r="K17" s="25"/>
      <c r="L17" s="25"/>
    </row>
    <row r="18" spans="1:19" s="8" customFormat="1" ht="13.5" thickBot="1" x14ac:dyDescent="0.4">
      <c r="A18" s="57"/>
      <c r="B18" s="58"/>
      <c r="C18" s="26"/>
      <c r="D18" s="26"/>
      <c r="E18" s="59"/>
      <c r="F18" s="57"/>
      <c r="G18" s="27"/>
      <c r="H18" s="27"/>
      <c r="I18" s="27"/>
      <c r="J18" s="27"/>
      <c r="K18" s="27"/>
      <c r="L18" s="27"/>
    </row>
    <row r="20" spans="1:19" ht="13.15" x14ac:dyDescent="0.35">
      <c r="C20" s="12" t="s">
        <v>26</v>
      </c>
      <c r="D20" s="53"/>
      <c r="E20" s="97">
        <f>10*E7</f>
        <v>20</v>
      </c>
      <c r="F20" s="9" t="e">
        <f>IF(SUM(F11:F18)&gt;0,E20-SUM(F11:F18),NA())</f>
        <v>#N/A</v>
      </c>
      <c r="G20" s="9">
        <f>IF(SUM(G11:G18)&gt;0,E20-SUM(F11:G18),NA())</f>
        <v>16</v>
      </c>
      <c r="H20" s="9" t="e">
        <f>IF(SUM(H11:H18)&gt;0,F20-SUM(G11:H18),NA())</f>
        <v>#N/A</v>
      </c>
      <c r="I20" s="9">
        <f>IF(SUM(I11:I18)&gt;0,E20-SUM(F11:I18),NA())</f>
        <v>9</v>
      </c>
      <c r="J20" s="9">
        <f>IF(SUM(J11:J18)&gt;0,E20-SUM(F11:J18),NA())</f>
        <v>6</v>
      </c>
      <c r="K20" s="9">
        <f>IF(SUM(K11:K18)&gt;0,E20-SUM(F11:K18),NA())</f>
        <v>5</v>
      </c>
      <c r="L20" s="9" t="e">
        <f>IF(SUM(L11:L18)&gt;0,E20-SUM(F11:L18),NA())</f>
        <v>#N/A</v>
      </c>
    </row>
    <row r="21" spans="1:19" ht="13.15" x14ac:dyDescent="0.35">
      <c r="C21" s="12" t="s">
        <v>27</v>
      </c>
      <c r="D21" s="54"/>
      <c r="E21" s="98"/>
      <c r="F21" s="10" t="e">
        <f>$E$20-(F20/7)</f>
        <v>#N/A</v>
      </c>
      <c r="G21" s="10" t="e">
        <f>F21-($E$20/7)</f>
        <v>#N/A</v>
      </c>
      <c r="H21" s="10" t="e">
        <f t="shared" ref="H21:L21" si="1">G21-($E$20/7)</f>
        <v>#N/A</v>
      </c>
      <c r="I21" s="10" t="e">
        <f t="shared" si="1"/>
        <v>#N/A</v>
      </c>
      <c r="J21" s="10" t="e">
        <f t="shared" si="1"/>
        <v>#N/A</v>
      </c>
      <c r="K21" s="10" t="e">
        <f t="shared" si="1"/>
        <v>#N/A</v>
      </c>
      <c r="L21" s="10" t="e">
        <f t="shared" si="1"/>
        <v>#N/A</v>
      </c>
    </row>
    <row r="22" spans="1:19" x14ac:dyDescent="0.35">
      <c r="M22" s="4"/>
      <c r="N22" s="4"/>
      <c r="O22" s="4"/>
      <c r="P22" s="4"/>
      <c r="Q22" s="4"/>
      <c r="R22" s="4"/>
      <c r="S22" s="4"/>
    </row>
    <row r="23" spans="1:19" x14ac:dyDescent="0.35">
      <c r="M23" s="4"/>
      <c r="N23" s="4"/>
      <c r="O23" s="4"/>
      <c r="P23" s="4"/>
      <c r="Q23" s="4"/>
      <c r="R23" s="4"/>
      <c r="S23" s="4"/>
    </row>
    <row r="24" spans="1:19" x14ac:dyDescent="0.35">
      <c r="M24" s="4"/>
      <c r="N24" s="4"/>
      <c r="O24" s="4"/>
      <c r="P24" s="4"/>
      <c r="Q24" s="4"/>
      <c r="R24" s="4"/>
      <c r="S24" s="4"/>
    </row>
    <row r="25" spans="1:19" x14ac:dyDescent="0.35">
      <c r="M25" s="4"/>
      <c r="N25" s="4"/>
      <c r="O25" s="4"/>
      <c r="P25" s="4"/>
      <c r="Q25" s="4"/>
      <c r="R25" s="4"/>
      <c r="S25" s="4"/>
    </row>
    <row r="26" spans="1:19" x14ac:dyDescent="0.35">
      <c r="K26" s="7">
        <v>0</v>
      </c>
      <c r="L26" s="4">
        <f>SUM(E11:E19)</f>
        <v>15</v>
      </c>
      <c r="M26" s="4"/>
      <c r="N26" s="4"/>
      <c r="O26" s="4"/>
      <c r="P26" s="4"/>
      <c r="Q26" s="4"/>
      <c r="R26" s="7">
        <v>0</v>
      </c>
      <c r="S26" s="4">
        <f>SUM(L11:L19)</f>
        <v>0</v>
      </c>
    </row>
    <row r="27" spans="1:19" x14ac:dyDescent="0.35">
      <c r="K27" s="7">
        <v>10</v>
      </c>
      <c r="L27" s="7">
        <v>0</v>
      </c>
      <c r="M27" s="4"/>
      <c r="N27" s="4"/>
      <c r="O27" s="4"/>
      <c r="P27" s="4"/>
      <c r="Q27" s="4"/>
      <c r="R27" s="7">
        <v>10</v>
      </c>
      <c r="S27" s="7">
        <v>0</v>
      </c>
    </row>
    <row r="28" spans="1:19" x14ac:dyDescent="0.35">
      <c r="M28" s="4"/>
      <c r="N28" s="4"/>
      <c r="O28" s="4"/>
      <c r="P28" s="4"/>
      <c r="Q28" s="4"/>
      <c r="R28" s="4"/>
      <c r="S28" s="4"/>
    </row>
    <row r="29" spans="1:19" x14ac:dyDescent="0.35">
      <c r="M29" s="4"/>
      <c r="N29" s="4"/>
      <c r="O29" s="4"/>
      <c r="P29" s="4"/>
      <c r="Q29" s="4"/>
      <c r="R29" s="4"/>
      <c r="S29" s="4"/>
    </row>
    <row r="30" spans="1:19" x14ac:dyDescent="0.35">
      <c r="M30" s="4"/>
      <c r="N30" s="4"/>
      <c r="O30" s="4"/>
      <c r="P30" s="4"/>
      <c r="Q30" s="4"/>
      <c r="R30" s="4"/>
      <c r="S30" s="4"/>
    </row>
    <row r="31" spans="1:19" x14ac:dyDescent="0.35">
      <c r="M31" s="4"/>
      <c r="N31" s="4"/>
      <c r="O31" s="4"/>
      <c r="P31" s="4"/>
      <c r="Q31" s="4"/>
      <c r="R31" s="4"/>
      <c r="S31" s="4"/>
    </row>
    <row r="32" spans="1:19" x14ac:dyDescent="0.35">
      <c r="M32" s="4"/>
      <c r="N32" s="4"/>
      <c r="O32" s="4"/>
      <c r="P32" s="4"/>
      <c r="Q32" s="4"/>
      <c r="R32" s="4"/>
      <c r="S32" s="4"/>
    </row>
    <row r="33" spans="13:19" x14ac:dyDescent="0.35">
      <c r="M33" s="4"/>
      <c r="N33" s="4"/>
      <c r="O33" s="4"/>
      <c r="P33" s="4"/>
      <c r="Q33" s="4"/>
      <c r="R33" s="4"/>
      <c r="S33" s="4"/>
    </row>
    <row r="34" spans="13:19" x14ac:dyDescent="0.35">
      <c r="M34" s="4"/>
      <c r="N34" s="4"/>
      <c r="O34" s="4"/>
      <c r="P34" s="4"/>
      <c r="Q34" s="4"/>
      <c r="R34" s="4"/>
      <c r="S34" s="4"/>
    </row>
    <row r="35" spans="13:19" x14ac:dyDescent="0.35">
      <c r="M35" s="4"/>
      <c r="N35" s="4"/>
      <c r="O35" s="4"/>
      <c r="P35" s="4"/>
      <c r="Q35" s="4"/>
      <c r="R35" s="4"/>
      <c r="S35" s="4"/>
    </row>
    <row r="36" spans="13:19" x14ac:dyDescent="0.35">
      <c r="M36" s="4"/>
      <c r="N36" s="4"/>
      <c r="O36" s="4"/>
      <c r="P36" s="4"/>
      <c r="Q36" s="4"/>
      <c r="R36" s="4"/>
      <c r="S36" s="4"/>
    </row>
    <row r="37" spans="13:19" x14ac:dyDescent="0.35">
      <c r="M37" s="4"/>
      <c r="N37" s="4"/>
      <c r="O37" s="4"/>
      <c r="P37" s="4"/>
      <c r="Q37" s="4"/>
      <c r="R37" s="4"/>
      <c r="S37" s="4"/>
    </row>
    <row r="38" spans="13:19" x14ac:dyDescent="0.35">
      <c r="M38" s="4"/>
      <c r="N38" s="4"/>
      <c r="O38" s="4"/>
      <c r="P38" s="4"/>
      <c r="Q38" s="4"/>
      <c r="R38" s="4"/>
      <c r="S38" s="4"/>
    </row>
    <row r="39" spans="13:19" x14ac:dyDescent="0.35">
      <c r="M39" s="4"/>
      <c r="N39" s="4"/>
      <c r="O39" s="4"/>
      <c r="P39" s="4"/>
      <c r="Q39" s="4"/>
      <c r="R39" s="4"/>
      <c r="S39" s="4"/>
    </row>
    <row r="40" spans="13:19" x14ac:dyDescent="0.35">
      <c r="M40" s="4"/>
      <c r="N40" s="4"/>
      <c r="O40" s="4"/>
      <c r="P40" s="4"/>
      <c r="Q40" s="4"/>
      <c r="R40" s="4"/>
      <c r="S40" s="4"/>
    </row>
    <row r="41" spans="13:19" x14ac:dyDescent="0.35">
      <c r="M41" s="4"/>
      <c r="N41" s="4"/>
      <c r="O41" s="4"/>
      <c r="P41" s="4"/>
      <c r="Q41" s="4"/>
      <c r="R41" s="4"/>
      <c r="S41" s="4"/>
    </row>
    <row r="42" spans="13:19" x14ac:dyDescent="0.35">
      <c r="M42" s="4"/>
      <c r="N42" s="4"/>
      <c r="O42" s="4"/>
      <c r="P42" s="4"/>
      <c r="Q42" s="4"/>
      <c r="R42" s="4"/>
      <c r="S42" s="4"/>
    </row>
    <row r="43" spans="13:19" x14ac:dyDescent="0.35">
      <c r="M43" s="4"/>
      <c r="N43" s="4"/>
      <c r="O43" s="4"/>
      <c r="P43" s="4"/>
      <c r="Q43" s="4"/>
      <c r="R43" s="4"/>
      <c r="S43" s="4"/>
    </row>
    <row r="44" spans="13:19" x14ac:dyDescent="0.35">
      <c r="M44" s="4"/>
      <c r="N44" s="4"/>
      <c r="O44" s="4"/>
      <c r="P44" s="4"/>
      <c r="Q44" s="4"/>
      <c r="R44" s="4"/>
      <c r="S44" s="4"/>
    </row>
  </sheetData>
  <sheetProtection formatCells="0" formatColumns="0" formatRows="0" insertRows="0" autoFilter="0"/>
  <autoFilter ref="A10:E10" xr:uid="{00000000-0009-0000-0000-000002000000}"/>
  <mergeCells count="4">
    <mergeCell ref="A2:L2"/>
    <mergeCell ref="E4:J4"/>
    <mergeCell ref="F8:L8"/>
    <mergeCell ref="E20:E21"/>
  </mergeCells>
  <conditionalFormatting sqref="F20:L20">
    <cfRule type="cellIs" dxfId="15" priority="3" stopIfTrue="1" operator="lessThan">
      <formula>F21</formula>
    </cfRule>
    <cfRule type="cellIs" dxfId="14" priority="4" stopIfTrue="1" operator="greaterThan">
      <formula>F21</formula>
    </cfRule>
  </conditionalFormatting>
  <pageMargins left="0.75" right="0.75" top="1" bottom="1" header="0.5" footer="0.5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F49ED-68BE-4AE9-AC89-51C6C8E5324B}">
  <dimension ref="A2:S44"/>
  <sheetViews>
    <sheetView workbookViewId="0">
      <selection activeCell="E4" sqref="E4:J4"/>
    </sheetView>
  </sheetViews>
  <sheetFormatPr defaultColWidth="11.46484375" defaultRowHeight="12.75" x14ac:dyDescent="0.35"/>
  <cols>
    <col min="1" max="2" width="6.86328125" style="5" customWidth="1"/>
    <col min="3" max="3" width="33.86328125" style="6" customWidth="1"/>
    <col min="4" max="4" width="21.1328125" style="6" customWidth="1"/>
    <col min="5" max="5" width="10.46484375" style="4" customWidth="1"/>
    <col min="6" max="12" width="11.46484375" style="4" customWidth="1"/>
    <col min="13" max="16384" width="11.46484375" style="5"/>
  </cols>
  <sheetData>
    <row r="2" spans="1:12" customFormat="1" ht="43.5" customHeight="1" x14ac:dyDescent="0.35">
      <c r="A2" s="90" t="str">
        <f>CONCATENATE("Sprint #",E5, "Tracking Sheet")</f>
        <v>Sprint #1Tracking Sheet</v>
      </c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</row>
    <row r="4" spans="1:12" customFormat="1" ht="13.15" x14ac:dyDescent="0.4">
      <c r="A4" s="2"/>
      <c r="B4" s="5"/>
      <c r="C4" s="35" t="s">
        <v>12</v>
      </c>
      <c r="D4" s="49"/>
      <c r="E4" s="91" t="s">
        <v>103</v>
      </c>
      <c r="F4" s="92"/>
      <c r="G4" s="92"/>
      <c r="H4" s="92"/>
      <c r="I4" s="92"/>
      <c r="J4" s="93"/>
    </row>
    <row r="5" spans="1:12" ht="13.15" x14ac:dyDescent="0.35">
      <c r="C5" s="11" t="s">
        <v>20</v>
      </c>
      <c r="D5" s="11"/>
      <c r="E5" s="22">
        <v>1</v>
      </c>
    </row>
    <row r="6" spans="1:12" ht="13.15" x14ac:dyDescent="0.35">
      <c r="C6" s="11" t="s">
        <v>21</v>
      </c>
      <c r="D6" s="11"/>
      <c r="E6" s="23"/>
    </row>
    <row r="7" spans="1:12" ht="13.5" thickBot="1" x14ac:dyDescent="0.4">
      <c r="C7" s="3"/>
      <c r="D7" s="11" t="s">
        <v>31</v>
      </c>
      <c r="E7" s="22">
        <v>3</v>
      </c>
    </row>
    <row r="8" spans="1:12" ht="13.5" thickBot="1" x14ac:dyDescent="0.4">
      <c r="F8" s="94" t="s">
        <v>22</v>
      </c>
      <c r="G8" s="95"/>
      <c r="H8" s="95"/>
      <c r="I8" s="95"/>
      <c r="J8" s="95"/>
      <c r="K8" s="95"/>
      <c r="L8" s="96"/>
    </row>
    <row r="9" spans="1:12" ht="12.75" customHeight="1" thickBot="1" x14ac:dyDescent="0.4">
      <c r="F9" s="55">
        <v>1</v>
      </c>
      <c r="G9" s="56">
        <v>2</v>
      </c>
      <c r="H9" s="55">
        <v>3</v>
      </c>
      <c r="I9" s="56">
        <v>4</v>
      </c>
      <c r="J9" s="55">
        <v>5</v>
      </c>
      <c r="K9" s="56">
        <v>6</v>
      </c>
      <c r="L9" s="55">
        <v>7</v>
      </c>
    </row>
    <row r="10" spans="1:12" s="3" customFormat="1" ht="27" customHeight="1" x14ac:dyDescent="0.35">
      <c r="A10" s="17" t="s">
        <v>23</v>
      </c>
      <c r="B10" s="19" t="s">
        <v>16</v>
      </c>
      <c r="C10" s="18" t="s">
        <v>24</v>
      </c>
      <c r="D10" s="50" t="s">
        <v>29</v>
      </c>
      <c r="E10" s="20" t="s">
        <v>25</v>
      </c>
      <c r="F10" s="28">
        <f>E6</f>
        <v>0</v>
      </c>
      <c r="G10" s="21">
        <f>F10+1</f>
        <v>1</v>
      </c>
      <c r="H10" s="21">
        <f t="shared" ref="H10:L10" si="0">G10+1</f>
        <v>2</v>
      </c>
      <c r="I10" s="21">
        <f t="shared" si="0"/>
        <v>3</v>
      </c>
      <c r="J10" s="21">
        <f t="shared" si="0"/>
        <v>4</v>
      </c>
      <c r="K10" s="21">
        <f t="shared" si="0"/>
        <v>5</v>
      </c>
      <c r="L10" s="21">
        <f t="shared" si="0"/>
        <v>6</v>
      </c>
    </row>
    <row r="11" spans="1:12" s="34" customFormat="1" ht="13.15" x14ac:dyDescent="0.35">
      <c r="A11" s="30"/>
      <c r="B11" s="31"/>
      <c r="C11" s="32"/>
      <c r="D11" s="51"/>
      <c r="E11" s="29"/>
      <c r="F11" s="33"/>
      <c r="G11" s="33"/>
      <c r="H11" s="33"/>
      <c r="I11" s="33"/>
      <c r="J11" s="31"/>
      <c r="K11" s="31"/>
      <c r="L11" s="31"/>
    </row>
    <row r="12" spans="1:12" s="34" customFormat="1" ht="13.15" x14ac:dyDescent="0.35">
      <c r="A12" s="30"/>
      <c r="B12" s="31"/>
      <c r="C12" s="32"/>
      <c r="D12" s="51"/>
      <c r="E12" s="29"/>
      <c r="F12" s="33"/>
      <c r="G12" s="33"/>
      <c r="H12" s="33"/>
      <c r="I12" s="33"/>
      <c r="J12" s="31"/>
      <c r="K12" s="31"/>
      <c r="L12" s="31"/>
    </row>
    <row r="13" spans="1:12" s="34" customFormat="1" ht="13.15" x14ac:dyDescent="0.35">
      <c r="A13" s="30"/>
      <c r="B13" s="48"/>
      <c r="C13" s="32"/>
      <c r="D13" s="51"/>
      <c r="E13" s="29"/>
      <c r="F13" s="33"/>
      <c r="G13" s="31"/>
      <c r="H13" s="31"/>
      <c r="I13" s="31"/>
      <c r="J13" s="31"/>
      <c r="K13" s="31"/>
      <c r="L13" s="31"/>
    </row>
    <row r="14" spans="1:12" s="34" customFormat="1" ht="13.15" x14ac:dyDescent="0.35">
      <c r="A14" s="30"/>
      <c r="B14" s="48"/>
      <c r="C14" s="32"/>
      <c r="D14" s="51"/>
      <c r="E14" s="29"/>
      <c r="F14" s="33"/>
      <c r="G14" s="31"/>
      <c r="H14" s="31"/>
      <c r="I14" s="31"/>
      <c r="J14" s="31"/>
      <c r="K14" s="31"/>
      <c r="L14" s="31"/>
    </row>
    <row r="15" spans="1:12" s="34" customFormat="1" ht="13.15" x14ac:dyDescent="0.35">
      <c r="A15" s="30"/>
      <c r="B15" s="48"/>
      <c r="C15" s="32"/>
      <c r="D15" s="51"/>
      <c r="E15" s="29"/>
      <c r="F15" s="33"/>
      <c r="G15" s="31"/>
      <c r="H15" s="31"/>
      <c r="I15" s="31"/>
      <c r="J15" s="31"/>
      <c r="K15" s="31"/>
      <c r="L15" s="31"/>
    </row>
    <row r="16" spans="1:12" s="34" customFormat="1" ht="13.15" x14ac:dyDescent="0.35">
      <c r="A16" s="30"/>
      <c r="B16" s="48"/>
      <c r="C16" s="32"/>
      <c r="D16" s="51"/>
      <c r="E16" s="29"/>
      <c r="F16" s="33"/>
      <c r="G16" s="31"/>
      <c r="H16" s="31"/>
      <c r="I16" s="31"/>
      <c r="J16" s="31"/>
      <c r="K16" s="31"/>
      <c r="L16" s="31"/>
    </row>
    <row r="17" spans="1:19" s="8" customFormat="1" ht="13.15" x14ac:dyDescent="0.35">
      <c r="A17" s="30"/>
      <c r="B17" s="48"/>
      <c r="C17" s="24"/>
      <c r="D17" s="52"/>
      <c r="E17" s="29"/>
      <c r="F17" s="33"/>
      <c r="G17" s="25"/>
      <c r="H17" s="25"/>
      <c r="I17" s="25"/>
      <c r="J17" s="25"/>
      <c r="K17" s="25"/>
      <c r="L17" s="25"/>
    </row>
    <row r="18" spans="1:19" s="8" customFormat="1" ht="13.5" thickBot="1" x14ac:dyDescent="0.4">
      <c r="A18" s="57"/>
      <c r="B18" s="58"/>
      <c r="C18" s="26"/>
      <c r="D18" s="26"/>
      <c r="E18" s="59"/>
      <c r="F18" s="57"/>
      <c r="G18" s="27"/>
      <c r="H18" s="27"/>
      <c r="I18" s="27"/>
      <c r="J18" s="27"/>
      <c r="K18" s="27"/>
      <c r="L18" s="27"/>
    </row>
    <row r="20" spans="1:19" ht="13.15" x14ac:dyDescent="0.35">
      <c r="C20" s="12" t="s">
        <v>26</v>
      </c>
      <c r="D20" s="53"/>
      <c r="E20" s="97">
        <f>10*E7</f>
        <v>30</v>
      </c>
      <c r="F20" s="9" t="e">
        <f>IF(SUM(F11:F18)&gt;0,E20-SUM(F11:F18),NA())</f>
        <v>#N/A</v>
      </c>
      <c r="G20" s="9" t="e">
        <f>IF(SUM(G11:G18)&gt;0,E20-SUM(F11:G18),NA())</f>
        <v>#N/A</v>
      </c>
      <c r="H20" s="9" t="e">
        <f>IF(SUM(H11:H18)&gt;0,F20-SUM(G11:H18),NA())</f>
        <v>#N/A</v>
      </c>
      <c r="I20" s="9" t="e">
        <f>IF(SUM(I11:I18)&gt;0,E20-SUM(F11:I18),NA())</f>
        <v>#N/A</v>
      </c>
      <c r="J20" s="9" t="e">
        <f>IF(SUM(J11:J18)&gt;0,E20-SUM(F11:J18),NA())</f>
        <v>#N/A</v>
      </c>
      <c r="K20" s="9" t="e">
        <f>IF(SUM(K11:K18)&gt;0,E20-SUM(F11:K18),NA())</f>
        <v>#N/A</v>
      </c>
      <c r="L20" s="9" t="e">
        <f>IF(SUM(L11:L18)&gt;0,E20-SUM(F11:L18),NA())</f>
        <v>#N/A</v>
      </c>
    </row>
    <row r="21" spans="1:19" ht="13.15" x14ac:dyDescent="0.35">
      <c r="C21" s="12" t="s">
        <v>27</v>
      </c>
      <c r="D21" s="54"/>
      <c r="E21" s="98"/>
      <c r="F21" s="10" t="e">
        <f>$E$20-(F20/7)</f>
        <v>#N/A</v>
      </c>
      <c r="G21" s="10" t="e">
        <f>F21-($E$20/7)</f>
        <v>#N/A</v>
      </c>
      <c r="H21" s="10" t="e">
        <f t="shared" ref="H21:L21" si="1">G21-($E$20/7)</f>
        <v>#N/A</v>
      </c>
      <c r="I21" s="10" t="e">
        <f t="shared" si="1"/>
        <v>#N/A</v>
      </c>
      <c r="J21" s="10" t="e">
        <f t="shared" si="1"/>
        <v>#N/A</v>
      </c>
      <c r="K21" s="10" t="e">
        <f t="shared" si="1"/>
        <v>#N/A</v>
      </c>
      <c r="L21" s="10" t="e">
        <f t="shared" si="1"/>
        <v>#N/A</v>
      </c>
    </row>
    <row r="22" spans="1:19" x14ac:dyDescent="0.35">
      <c r="M22" s="4"/>
      <c r="N22" s="4"/>
      <c r="O22" s="4"/>
      <c r="P22" s="4"/>
      <c r="Q22" s="4"/>
      <c r="R22" s="4"/>
      <c r="S22" s="4"/>
    </row>
    <row r="23" spans="1:19" x14ac:dyDescent="0.35">
      <c r="M23" s="4"/>
      <c r="N23" s="4"/>
      <c r="O23" s="4"/>
      <c r="P23" s="4"/>
      <c r="Q23" s="4"/>
      <c r="R23" s="4"/>
      <c r="S23" s="4"/>
    </row>
    <row r="24" spans="1:19" x14ac:dyDescent="0.35">
      <c r="M24" s="4"/>
      <c r="N24" s="4"/>
      <c r="O24" s="4"/>
      <c r="P24" s="4"/>
      <c r="Q24" s="4"/>
      <c r="R24" s="4"/>
      <c r="S24" s="4"/>
    </row>
    <row r="25" spans="1:19" x14ac:dyDescent="0.35">
      <c r="M25" s="4"/>
      <c r="N25" s="4"/>
      <c r="O25" s="4"/>
      <c r="P25" s="4"/>
      <c r="Q25" s="4"/>
      <c r="R25" s="4"/>
      <c r="S25" s="4"/>
    </row>
    <row r="26" spans="1:19" x14ac:dyDescent="0.35">
      <c r="K26" s="7">
        <v>0</v>
      </c>
      <c r="L26" s="4">
        <f>SUM(E11:E19)</f>
        <v>0</v>
      </c>
      <c r="M26" s="4"/>
      <c r="N26" s="4"/>
      <c r="O26" s="4"/>
      <c r="P26" s="4"/>
      <c r="Q26" s="4"/>
      <c r="R26" s="7">
        <v>0</v>
      </c>
      <c r="S26" s="4">
        <f>SUM(L11:L19)</f>
        <v>0</v>
      </c>
    </row>
    <row r="27" spans="1:19" x14ac:dyDescent="0.35">
      <c r="K27" s="7">
        <v>10</v>
      </c>
      <c r="L27" s="7">
        <v>0</v>
      </c>
      <c r="M27" s="4"/>
      <c r="N27" s="4"/>
      <c r="O27" s="4"/>
      <c r="P27" s="4"/>
      <c r="Q27" s="4"/>
      <c r="R27" s="7">
        <v>10</v>
      </c>
      <c r="S27" s="7">
        <v>0</v>
      </c>
    </row>
    <row r="28" spans="1:19" x14ac:dyDescent="0.35">
      <c r="M28" s="4"/>
      <c r="N28" s="4"/>
      <c r="O28" s="4"/>
      <c r="P28" s="4"/>
      <c r="Q28" s="4"/>
      <c r="R28" s="4"/>
      <c r="S28" s="4"/>
    </row>
    <row r="29" spans="1:19" x14ac:dyDescent="0.35">
      <c r="M29" s="4"/>
      <c r="N29" s="4"/>
      <c r="O29" s="4"/>
      <c r="P29" s="4"/>
      <c r="Q29" s="4"/>
      <c r="R29" s="4"/>
      <c r="S29" s="4"/>
    </row>
    <row r="30" spans="1:19" x14ac:dyDescent="0.35">
      <c r="M30" s="4"/>
      <c r="N30" s="4"/>
      <c r="O30" s="4"/>
      <c r="P30" s="4"/>
      <c r="Q30" s="4"/>
      <c r="R30" s="4"/>
      <c r="S30" s="4"/>
    </row>
    <row r="31" spans="1:19" x14ac:dyDescent="0.35">
      <c r="M31" s="4"/>
      <c r="N31" s="4"/>
      <c r="O31" s="4"/>
      <c r="P31" s="4"/>
      <c r="Q31" s="4"/>
      <c r="R31" s="4"/>
      <c r="S31" s="4"/>
    </row>
    <row r="32" spans="1:19" x14ac:dyDescent="0.35">
      <c r="M32" s="4"/>
      <c r="N32" s="4"/>
      <c r="O32" s="4"/>
      <c r="P32" s="4"/>
      <c r="Q32" s="4"/>
      <c r="R32" s="4"/>
      <c r="S32" s="4"/>
    </row>
    <row r="33" spans="13:19" x14ac:dyDescent="0.35">
      <c r="M33" s="4"/>
      <c r="N33" s="4"/>
      <c r="O33" s="4"/>
      <c r="P33" s="4"/>
      <c r="Q33" s="4"/>
      <c r="R33" s="4"/>
      <c r="S33" s="4"/>
    </row>
    <row r="34" spans="13:19" x14ac:dyDescent="0.35">
      <c r="M34" s="4"/>
      <c r="N34" s="4"/>
      <c r="O34" s="4"/>
      <c r="P34" s="4"/>
      <c r="Q34" s="4"/>
      <c r="R34" s="4"/>
      <c r="S34" s="4"/>
    </row>
    <row r="35" spans="13:19" x14ac:dyDescent="0.35">
      <c r="M35" s="4"/>
      <c r="N35" s="4"/>
      <c r="O35" s="4"/>
      <c r="P35" s="4"/>
      <c r="Q35" s="4"/>
      <c r="R35" s="4"/>
      <c r="S35" s="4"/>
    </row>
    <row r="36" spans="13:19" x14ac:dyDescent="0.35">
      <c r="M36" s="4"/>
      <c r="N36" s="4"/>
      <c r="O36" s="4"/>
      <c r="P36" s="4"/>
      <c r="Q36" s="4"/>
      <c r="R36" s="4"/>
      <c r="S36" s="4"/>
    </row>
    <row r="37" spans="13:19" x14ac:dyDescent="0.35">
      <c r="M37" s="4"/>
      <c r="N37" s="4"/>
      <c r="O37" s="4"/>
      <c r="P37" s="4"/>
      <c r="Q37" s="4"/>
      <c r="R37" s="4"/>
      <c r="S37" s="4"/>
    </row>
    <row r="38" spans="13:19" x14ac:dyDescent="0.35">
      <c r="M38" s="4"/>
      <c r="N38" s="4"/>
      <c r="O38" s="4"/>
      <c r="P38" s="4"/>
      <c r="Q38" s="4"/>
      <c r="R38" s="4"/>
      <c r="S38" s="4"/>
    </row>
    <row r="39" spans="13:19" x14ac:dyDescent="0.35">
      <c r="M39" s="4"/>
      <c r="N39" s="4"/>
      <c r="O39" s="4"/>
      <c r="P39" s="4"/>
      <c r="Q39" s="4"/>
      <c r="R39" s="4"/>
      <c r="S39" s="4"/>
    </row>
    <row r="40" spans="13:19" x14ac:dyDescent="0.35">
      <c r="M40" s="4"/>
      <c r="N40" s="4"/>
      <c r="O40" s="4"/>
      <c r="P40" s="4"/>
      <c r="Q40" s="4"/>
      <c r="R40" s="4"/>
      <c r="S40" s="4"/>
    </row>
    <row r="41" spans="13:19" x14ac:dyDescent="0.35">
      <c r="M41" s="4"/>
      <c r="N41" s="4"/>
      <c r="O41" s="4"/>
      <c r="P41" s="4"/>
      <c r="Q41" s="4"/>
      <c r="R41" s="4"/>
      <c r="S41" s="4"/>
    </row>
    <row r="42" spans="13:19" x14ac:dyDescent="0.35">
      <c r="M42" s="4"/>
      <c r="N42" s="4"/>
      <c r="O42" s="4"/>
      <c r="P42" s="4"/>
      <c r="Q42" s="4"/>
      <c r="R42" s="4"/>
      <c r="S42" s="4"/>
    </row>
    <row r="43" spans="13:19" x14ac:dyDescent="0.35">
      <c r="M43" s="4"/>
      <c r="N43" s="4"/>
      <c r="O43" s="4"/>
      <c r="P43" s="4"/>
      <c r="Q43" s="4"/>
      <c r="R43" s="4"/>
      <c r="S43" s="4"/>
    </row>
    <row r="44" spans="13:19" x14ac:dyDescent="0.35">
      <c r="M44" s="4"/>
      <c r="N44" s="4"/>
      <c r="O44" s="4"/>
      <c r="P44" s="4"/>
      <c r="Q44" s="4"/>
      <c r="R44" s="4"/>
      <c r="S44" s="4"/>
    </row>
  </sheetData>
  <sheetProtection formatCells="0" formatColumns="0" formatRows="0" insertRows="0" autoFilter="0"/>
  <autoFilter ref="A10:E10" xr:uid="{00000000-0009-0000-0000-000002000000}"/>
  <mergeCells count="4">
    <mergeCell ref="A2:L2"/>
    <mergeCell ref="E4:J4"/>
    <mergeCell ref="F8:L8"/>
    <mergeCell ref="E20:E21"/>
  </mergeCells>
  <conditionalFormatting sqref="F20:L20">
    <cfRule type="cellIs" dxfId="13" priority="1" stopIfTrue="1" operator="lessThan">
      <formula>F21</formula>
    </cfRule>
    <cfRule type="cellIs" dxfId="12" priority="2" stopIfTrue="1" operator="greaterThan">
      <formula>F21</formula>
    </cfRule>
  </conditionalFormatting>
  <pageMargins left="0.75" right="0.75" top="1" bottom="1" header="0.5" footer="0.5"/>
  <headerFooter alignWithMargins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FF609-4A53-4355-B19D-1B0C16F63F3E}">
  <dimension ref="A2:S44"/>
  <sheetViews>
    <sheetView workbookViewId="0">
      <selection activeCell="E5" sqref="E5"/>
    </sheetView>
  </sheetViews>
  <sheetFormatPr defaultColWidth="11.46484375" defaultRowHeight="12.75" x14ac:dyDescent="0.35"/>
  <cols>
    <col min="1" max="2" width="6.86328125" style="5" customWidth="1"/>
    <col min="3" max="3" width="33.86328125" style="6" customWidth="1"/>
    <col min="4" max="4" width="21.1328125" style="6" customWidth="1"/>
    <col min="5" max="5" width="10.46484375" style="4" customWidth="1"/>
    <col min="6" max="12" width="11.46484375" style="4" customWidth="1"/>
    <col min="13" max="16384" width="11.46484375" style="5"/>
  </cols>
  <sheetData>
    <row r="2" spans="1:12" customFormat="1" ht="43.5" customHeight="1" x14ac:dyDescent="0.35">
      <c r="A2" s="90" t="str">
        <f>CONCATENATE("Sprint #",E5, "Tracking Sheet")</f>
        <v>Sprint #2Tracking Sheet</v>
      </c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</row>
    <row r="4" spans="1:12" customFormat="1" ht="13.15" x14ac:dyDescent="0.4">
      <c r="A4" s="2"/>
      <c r="B4" s="5"/>
      <c r="C4" s="35" t="s">
        <v>12</v>
      </c>
      <c r="D4" s="49"/>
      <c r="E4" s="91" t="s">
        <v>103</v>
      </c>
      <c r="F4" s="92"/>
      <c r="G4" s="92"/>
      <c r="H4" s="92"/>
      <c r="I4" s="92"/>
      <c r="J4" s="93"/>
    </row>
    <row r="5" spans="1:12" ht="13.15" x14ac:dyDescent="0.35">
      <c r="C5" s="11" t="s">
        <v>20</v>
      </c>
      <c r="D5" s="11"/>
      <c r="E5" s="22">
        <v>2</v>
      </c>
    </row>
    <row r="6" spans="1:12" ht="13.15" x14ac:dyDescent="0.35">
      <c r="C6" s="11" t="s">
        <v>21</v>
      </c>
      <c r="D6" s="11"/>
      <c r="E6" s="23"/>
    </row>
    <row r="7" spans="1:12" ht="13.5" thickBot="1" x14ac:dyDescent="0.4">
      <c r="C7" s="3"/>
      <c r="D7" s="11" t="s">
        <v>31</v>
      </c>
      <c r="E7" s="22">
        <v>3</v>
      </c>
    </row>
    <row r="8" spans="1:12" ht="13.5" thickBot="1" x14ac:dyDescent="0.4">
      <c r="F8" s="94" t="s">
        <v>22</v>
      </c>
      <c r="G8" s="95"/>
      <c r="H8" s="95"/>
      <c r="I8" s="95"/>
      <c r="J8" s="95"/>
      <c r="K8" s="95"/>
      <c r="L8" s="96"/>
    </row>
    <row r="9" spans="1:12" ht="12.75" customHeight="1" thickBot="1" x14ac:dyDescent="0.4">
      <c r="F9" s="55">
        <v>1</v>
      </c>
      <c r="G9" s="56">
        <v>2</v>
      </c>
      <c r="H9" s="55">
        <v>3</v>
      </c>
      <c r="I9" s="56">
        <v>4</v>
      </c>
      <c r="J9" s="55">
        <v>5</v>
      </c>
      <c r="K9" s="56">
        <v>6</v>
      </c>
      <c r="L9" s="55">
        <v>7</v>
      </c>
    </row>
    <row r="10" spans="1:12" s="3" customFormat="1" ht="27" customHeight="1" x14ac:dyDescent="0.35">
      <c r="A10" s="17" t="s">
        <v>23</v>
      </c>
      <c r="B10" s="19" t="s">
        <v>16</v>
      </c>
      <c r="C10" s="18" t="s">
        <v>24</v>
      </c>
      <c r="D10" s="50" t="s">
        <v>29</v>
      </c>
      <c r="E10" s="20" t="s">
        <v>25</v>
      </c>
      <c r="F10" s="28">
        <f>E6</f>
        <v>0</v>
      </c>
      <c r="G10" s="21">
        <f>F10+1</f>
        <v>1</v>
      </c>
      <c r="H10" s="21">
        <f t="shared" ref="H10:L10" si="0">G10+1</f>
        <v>2</v>
      </c>
      <c r="I10" s="21">
        <f t="shared" si="0"/>
        <v>3</v>
      </c>
      <c r="J10" s="21">
        <f t="shared" si="0"/>
        <v>4</v>
      </c>
      <c r="K10" s="21">
        <f t="shared" si="0"/>
        <v>5</v>
      </c>
      <c r="L10" s="21">
        <f t="shared" si="0"/>
        <v>6</v>
      </c>
    </row>
    <row r="11" spans="1:12" s="34" customFormat="1" ht="13.15" x14ac:dyDescent="0.35">
      <c r="A11" s="30"/>
      <c r="B11" s="31"/>
      <c r="C11" s="32"/>
      <c r="D11" s="51"/>
      <c r="E11" s="29"/>
      <c r="F11" s="33"/>
      <c r="G11" s="33"/>
      <c r="H11" s="33"/>
      <c r="I11" s="33"/>
      <c r="J11" s="31"/>
      <c r="K11" s="31"/>
      <c r="L11" s="31"/>
    </row>
    <row r="12" spans="1:12" s="34" customFormat="1" ht="13.15" x14ac:dyDescent="0.35">
      <c r="A12" s="30"/>
      <c r="B12" s="31"/>
      <c r="C12" s="32"/>
      <c r="D12" s="51"/>
      <c r="E12" s="29"/>
      <c r="F12" s="33"/>
      <c r="G12" s="33"/>
      <c r="H12" s="33"/>
      <c r="I12" s="33"/>
      <c r="J12" s="31"/>
      <c r="K12" s="31"/>
      <c r="L12" s="31"/>
    </row>
    <row r="13" spans="1:12" s="34" customFormat="1" ht="13.15" x14ac:dyDescent="0.35">
      <c r="A13" s="30"/>
      <c r="B13" s="48"/>
      <c r="C13" s="32"/>
      <c r="D13" s="51"/>
      <c r="E13" s="29"/>
      <c r="F13" s="33"/>
      <c r="G13" s="31"/>
      <c r="H13" s="31"/>
      <c r="I13" s="31"/>
      <c r="J13" s="31"/>
      <c r="K13" s="31"/>
      <c r="L13" s="31"/>
    </row>
    <row r="14" spans="1:12" s="34" customFormat="1" ht="13.15" x14ac:dyDescent="0.35">
      <c r="A14" s="30"/>
      <c r="B14" s="48"/>
      <c r="C14" s="32"/>
      <c r="D14" s="51"/>
      <c r="E14" s="29"/>
      <c r="F14" s="33"/>
      <c r="G14" s="31"/>
      <c r="H14" s="31"/>
      <c r="I14" s="31"/>
      <c r="J14" s="31"/>
      <c r="K14" s="31"/>
      <c r="L14" s="31"/>
    </row>
    <row r="15" spans="1:12" s="34" customFormat="1" ht="13.15" x14ac:dyDescent="0.35">
      <c r="A15" s="30"/>
      <c r="B15" s="48"/>
      <c r="C15" s="32"/>
      <c r="D15" s="51"/>
      <c r="E15" s="29"/>
      <c r="F15" s="33"/>
      <c r="G15" s="31"/>
      <c r="H15" s="31"/>
      <c r="I15" s="31"/>
      <c r="J15" s="31"/>
      <c r="K15" s="31"/>
      <c r="L15" s="31"/>
    </row>
    <row r="16" spans="1:12" s="34" customFormat="1" ht="13.15" x14ac:dyDescent="0.35">
      <c r="A16" s="30"/>
      <c r="B16" s="48"/>
      <c r="C16" s="32"/>
      <c r="D16" s="51"/>
      <c r="E16" s="29"/>
      <c r="F16" s="33"/>
      <c r="G16" s="31"/>
      <c r="H16" s="31"/>
      <c r="I16" s="31"/>
      <c r="J16" s="31"/>
      <c r="K16" s="31"/>
      <c r="L16" s="31"/>
    </row>
    <row r="17" spans="1:19" s="8" customFormat="1" ht="13.15" x14ac:dyDescent="0.35">
      <c r="A17" s="30"/>
      <c r="B17" s="48"/>
      <c r="C17" s="24"/>
      <c r="D17" s="52"/>
      <c r="E17" s="29"/>
      <c r="F17" s="33"/>
      <c r="G17" s="25"/>
      <c r="H17" s="25"/>
      <c r="I17" s="25"/>
      <c r="J17" s="25"/>
      <c r="K17" s="25"/>
      <c r="L17" s="25"/>
    </row>
    <row r="18" spans="1:19" s="8" customFormat="1" ht="13.5" thickBot="1" x14ac:dyDescent="0.4">
      <c r="A18" s="57"/>
      <c r="B18" s="58"/>
      <c r="C18" s="26"/>
      <c r="D18" s="26"/>
      <c r="E18" s="59"/>
      <c r="F18" s="57"/>
      <c r="G18" s="27"/>
      <c r="H18" s="27"/>
      <c r="I18" s="27"/>
      <c r="J18" s="27"/>
      <c r="K18" s="27"/>
      <c r="L18" s="27"/>
    </row>
    <row r="20" spans="1:19" ht="13.15" x14ac:dyDescent="0.35">
      <c r="C20" s="12" t="s">
        <v>26</v>
      </c>
      <c r="D20" s="53"/>
      <c r="E20" s="97">
        <f>10*E7</f>
        <v>30</v>
      </c>
      <c r="F20" s="9" t="e">
        <f>IF(SUM(F11:F18)&gt;0,E20-SUM(F11:F18),NA())</f>
        <v>#N/A</v>
      </c>
      <c r="G20" s="9" t="e">
        <f>IF(SUM(G11:G18)&gt;0,E20-SUM(F11:G18),NA())</f>
        <v>#N/A</v>
      </c>
      <c r="H20" s="9" t="e">
        <f>IF(SUM(H11:H18)&gt;0,F20-SUM(G11:H18),NA())</f>
        <v>#N/A</v>
      </c>
      <c r="I20" s="9" t="e">
        <f>IF(SUM(I11:I18)&gt;0,E20-SUM(F11:I18),NA())</f>
        <v>#N/A</v>
      </c>
      <c r="J20" s="9" t="e">
        <f>IF(SUM(J11:J18)&gt;0,E20-SUM(F11:J18),NA())</f>
        <v>#N/A</v>
      </c>
      <c r="K20" s="9" t="e">
        <f>IF(SUM(K11:K18)&gt;0,E20-SUM(F11:K18),NA())</f>
        <v>#N/A</v>
      </c>
      <c r="L20" s="9" t="e">
        <f>IF(SUM(L11:L18)&gt;0,E20-SUM(F11:L18),NA())</f>
        <v>#N/A</v>
      </c>
    </row>
    <row r="21" spans="1:19" ht="13.15" x14ac:dyDescent="0.35">
      <c r="C21" s="12" t="s">
        <v>27</v>
      </c>
      <c r="D21" s="54"/>
      <c r="E21" s="98"/>
      <c r="F21" s="10" t="e">
        <f>$E$20-(F20/7)</f>
        <v>#N/A</v>
      </c>
      <c r="G21" s="10" t="e">
        <f>F21-($E$20/7)</f>
        <v>#N/A</v>
      </c>
      <c r="H21" s="10" t="e">
        <f t="shared" ref="H21:L21" si="1">G21-($E$20/7)</f>
        <v>#N/A</v>
      </c>
      <c r="I21" s="10" t="e">
        <f t="shared" si="1"/>
        <v>#N/A</v>
      </c>
      <c r="J21" s="10" t="e">
        <f t="shared" si="1"/>
        <v>#N/A</v>
      </c>
      <c r="K21" s="10" t="e">
        <f t="shared" si="1"/>
        <v>#N/A</v>
      </c>
      <c r="L21" s="10" t="e">
        <f t="shared" si="1"/>
        <v>#N/A</v>
      </c>
    </row>
    <row r="22" spans="1:19" x14ac:dyDescent="0.35">
      <c r="M22" s="4"/>
      <c r="N22" s="4"/>
      <c r="O22" s="4"/>
      <c r="P22" s="4"/>
      <c r="Q22" s="4"/>
      <c r="R22" s="4"/>
      <c r="S22" s="4"/>
    </row>
    <row r="23" spans="1:19" x14ac:dyDescent="0.35">
      <c r="M23" s="4"/>
      <c r="N23" s="4"/>
      <c r="O23" s="4"/>
      <c r="P23" s="4"/>
      <c r="Q23" s="4"/>
      <c r="R23" s="4"/>
      <c r="S23" s="4"/>
    </row>
    <row r="24" spans="1:19" x14ac:dyDescent="0.35">
      <c r="M24" s="4"/>
      <c r="N24" s="4"/>
      <c r="O24" s="4"/>
      <c r="P24" s="4"/>
      <c r="Q24" s="4"/>
      <c r="R24" s="4"/>
      <c r="S24" s="4"/>
    </row>
    <row r="25" spans="1:19" x14ac:dyDescent="0.35">
      <c r="M25" s="4"/>
      <c r="N25" s="4"/>
      <c r="O25" s="4"/>
      <c r="P25" s="4"/>
      <c r="Q25" s="4"/>
      <c r="R25" s="4"/>
      <c r="S25" s="4"/>
    </row>
    <row r="26" spans="1:19" x14ac:dyDescent="0.35">
      <c r="K26" s="7">
        <v>0</v>
      </c>
      <c r="L26" s="4">
        <f>SUM(E11:E19)</f>
        <v>0</v>
      </c>
      <c r="M26" s="4"/>
      <c r="N26" s="4"/>
      <c r="O26" s="4"/>
      <c r="P26" s="4"/>
      <c r="Q26" s="4"/>
      <c r="R26" s="7">
        <v>0</v>
      </c>
      <c r="S26" s="4">
        <f>SUM(L11:L19)</f>
        <v>0</v>
      </c>
    </row>
    <row r="27" spans="1:19" x14ac:dyDescent="0.35">
      <c r="K27" s="7">
        <v>10</v>
      </c>
      <c r="L27" s="7">
        <v>0</v>
      </c>
      <c r="M27" s="4"/>
      <c r="N27" s="4"/>
      <c r="O27" s="4"/>
      <c r="P27" s="4"/>
      <c r="Q27" s="4"/>
      <c r="R27" s="7">
        <v>10</v>
      </c>
      <c r="S27" s="7">
        <v>0</v>
      </c>
    </row>
    <row r="28" spans="1:19" x14ac:dyDescent="0.35">
      <c r="M28" s="4"/>
      <c r="N28" s="4"/>
      <c r="O28" s="4"/>
      <c r="P28" s="4"/>
      <c r="Q28" s="4"/>
      <c r="R28" s="4"/>
      <c r="S28" s="4"/>
    </row>
    <row r="29" spans="1:19" x14ac:dyDescent="0.35">
      <c r="M29" s="4"/>
      <c r="N29" s="4"/>
      <c r="O29" s="4"/>
      <c r="P29" s="4"/>
      <c r="Q29" s="4"/>
      <c r="R29" s="4"/>
      <c r="S29" s="4"/>
    </row>
    <row r="30" spans="1:19" x14ac:dyDescent="0.35">
      <c r="M30" s="4"/>
      <c r="N30" s="4"/>
      <c r="O30" s="4"/>
      <c r="P30" s="4"/>
      <c r="Q30" s="4"/>
      <c r="R30" s="4"/>
      <c r="S30" s="4"/>
    </row>
    <row r="31" spans="1:19" x14ac:dyDescent="0.35">
      <c r="M31" s="4"/>
      <c r="N31" s="4"/>
      <c r="O31" s="4"/>
      <c r="P31" s="4"/>
      <c r="Q31" s="4"/>
      <c r="R31" s="4"/>
      <c r="S31" s="4"/>
    </row>
    <row r="32" spans="1:19" x14ac:dyDescent="0.35">
      <c r="M32" s="4"/>
      <c r="N32" s="4"/>
      <c r="O32" s="4"/>
      <c r="P32" s="4"/>
      <c r="Q32" s="4"/>
      <c r="R32" s="4"/>
      <c r="S32" s="4"/>
    </row>
    <row r="33" spans="13:19" x14ac:dyDescent="0.35">
      <c r="M33" s="4"/>
      <c r="N33" s="4"/>
      <c r="O33" s="4"/>
      <c r="P33" s="4"/>
      <c r="Q33" s="4"/>
      <c r="R33" s="4"/>
      <c r="S33" s="4"/>
    </row>
    <row r="34" spans="13:19" x14ac:dyDescent="0.35">
      <c r="M34" s="4"/>
      <c r="N34" s="4"/>
      <c r="O34" s="4"/>
      <c r="P34" s="4"/>
      <c r="Q34" s="4"/>
      <c r="R34" s="4"/>
      <c r="S34" s="4"/>
    </row>
    <row r="35" spans="13:19" x14ac:dyDescent="0.35">
      <c r="M35" s="4"/>
      <c r="N35" s="4"/>
      <c r="O35" s="4"/>
      <c r="P35" s="4"/>
      <c r="Q35" s="4"/>
      <c r="R35" s="4"/>
      <c r="S35" s="4"/>
    </row>
    <row r="36" spans="13:19" x14ac:dyDescent="0.35">
      <c r="M36" s="4"/>
      <c r="N36" s="4"/>
      <c r="O36" s="4"/>
      <c r="P36" s="4"/>
      <c r="Q36" s="4"/>
      <c r="R36" s="4"/>
      <c r="S36" s="4"/>
    </row>
    <row r="37" spans="13:19" x14ac:dyDescent="0.35">
      <c r="M37" s="4"/>
      <c r="N37" s="4"/>
      <c r="O37" s="4"/>
      <c r="P37" s="4"/>
      <c r="Q37" s="4"/>
      <c r="R37" s="4"/>
      <c r="S37" s="4"/>
    </row>
    <row r="38" spans="13:19" x14ac:dyDescent="0.35">
      <c r="M38" s="4"/>
      <c r="N38" s="4"/>
      <c r="O38" s="4"/>
      <c r="P38" s="4"/>
      <c r="Q38" s="4"/>
      <c r="R38" s="4"/>
      <c r="S38" s="4"/>
    </row>
    <row r="39" spans="13:19" x14ac:dyDescent="0.35">
      <c r="M39" s="4"/>
      <c r="N39" s="4"/>
      <c r="O39" s="4"/>
      <c r="P39" s="4"/>
      <c r="Q39" s="4"/>
      <c r="R39" s="4"/>
      <c r="S39" s="4"/>
    </row>
    <row r="40" spans="13:19" x14ac:dyDescent="0.35">
      <c r="M40" s="4"/>
      <c r="N40" s="4"/>
      <c r="O40" s="4"/>
      <c r="P40" s="4"/>
      <c r="Q40" s="4"/>
      <c r="R40" s="4"/>
      <c r="S40" s="4"/>
    </row>
    <row r="41" spans="13:19" x14ac:dyDescent="0.35">
      <c r="M41" s="4"/>
      <c r="N41" s="4"/>
      <c r="O41" s="4"/>
      <c r="P41" s="4"/>
      <c r="Q41" s="4"/>
      <c r="R41" s="4"/>
      <c r="S41" s="4"/>
    </row>
    <row r="42" spans="13:19" x14ac:dyDescent="0.35">
      <c r="M42" s="4"/>
      <c r="N42" s="4"/>
      <c r="O42" s="4"/>
      <c r="P42" s="4"/>
      <c r="Q42" s="4"/>
      <c r="R42" s="4"/>
      <c r="S42" s="4"/>
    </row>
    <row r="43" spans="13:19" x14ac:dyDescent="0.35">
      <c r="M43" s="4"/>
      <c r="N43" s="4"/>
      <c r="O43" s="4"/>
      <c r="P43" s="4"/>
      <c r="Q43" s="4"/>
      <c r="R43" s="4"/>
      <c r="S43" s="4"/>
    </row>
    <row r="44" spans="13:19" x14ac:dyDescent="0.35">
      <c r="M44" s="4"/>
      <c r="N44" s="4"/>
      <c r="O44" s="4"/>
      <c r="P44" s="4"/>
      <c r="Q44" s="4"/>
      <c r="R44" s="4"/>
      <c r="S44" s="4"/>
    </row>
  </sheetData>
  <sheetProtection formatCells="0" formatColumns="0" formatRows="0" insertRows="0" autoFilter="0"/>
  <autoFilter ref="A10:E10" xr:uid="{00000000-0009-0000-0000-000002000000}"/>
  <mergeCells count="4">
    <mergeCell ref="A2:L2"/>
    <mergeCell ref="E4:J4"/>
    <mergeCell ref="F8:L8"/>
    <mergeCell ref="E20:E21"/>
  </mergeCells>
  <conditionalFormatting sqref="F20:L20">
    <cfRule type="cellIs" dxfId="11" priority="1" stopIfTrue="1" operator="lessThan">
      <formula>F21</formula>
    </cfRule>
    <cfRule type="cellIs" dxfId="10" priority="2" stopIfTrue="1" operator="greaterThan">
      <formula>F21</formula>
    </cfRule>
  </conditionalFormatting>
  <pageMargins left="0.75" right="0.75" top="1" bottom="1" header="0.5" footer="0.5"/>
  <headerFooter alignWithMargins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164BD-6004-4BEB-8EDE-9DCB9CCF7642}">
  <dimension ref="A2:S44"/>
  <sheetViews>
    <sheetView workbookViewId="0">
      <selection activeCell="E5" sqref="E5"/>
    </sheetView>
  </sheetViews>
  <sheetFormatPr defaultColWidth="11.46484375" defaultRowHeight="12.75" x14ac:dyDescent="0.35"/>
  <cols>
    <col min="1" max="2" width="6.86328125" style="5" customWidth="1"/>
    <col min="3" max="3" width="33.86328125" style="6" customWidth="1"/>
    <col min="4" max="4" width="21.1328125" style="6" customWidth="1"/>
    <col min="5" max="5" width="10.46484375" style="4" customWidth="1"/>
    <col min="6" max="12" width="11.46484375" style="4" customWidth="1"/>
    <col min="13" max="16384" width="11.46484375" style="5"/>
  </cols>
  <sheetData>
    <row r="2" spans="1:12" customFormat="1" ht="43.5" customHeight="1" x14ac:dyDescent="0.35">
      <c r="A2" s="90" t="str">
        <f>CONCATENATE("Sprint #",E5, "Tracking Sheet")</f>
        <v>Sprint #3Tracking Sheet</v>
      </c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</row>
    <row r="4" spans="1:12" customFormat="1" ht="13.15" x14ac:dyDescent="0.4">
      <c r="A4" s="2"/>
      <c r="B4" s="5"/>
      <c r="C4" s="35" t="s">
        <v>12</v>
      </c>
      <c r="D4" s="49"/>
      <c r="E4" s="91" t="s">
        <v>103</v>
      </c>
      <c r="F4" s="92"/>
      <c r="G4" s="92"/>
      <c r="H4" s="92"/>
      <c r="I4" s="92"/>
      <c r="J4" s="93"/>
    </row>
    <row r="5" spans="1:12" ht="13.15" x14ac:dyDescent="0.35">
      <c r="C5" s="11" t="s">
        <v>20</v>
      </c>
      <c r="D5" s="11"/>
      <c r="E5" s="22">
        <v>3</v>
      </c>
    </row>
    <row r="6" spans="1:12" ht="13.15" x14ac:dyDescent="0.35">
      <c r="C6" s="11" t="s">
        <v>21</v>
      </c>
      <c r="D6" s="11"/>
      <c r="E6" s="23"/>
    </row>
    <row r="7" spans="1:12" ht="13.5" thickBot="1" x14ac:dyDescent="0.4">
      <c r="C7" s="3"/>
      <c r="D7" s="11" t="s">
        <v>31</v>
      </c>
      <c r="E7" s="22">
        <v>3</v>
      </c>
    </row>
    <row r="8" spans="1:12" ht="13.5" thickBot="1" x14ac:dyDescent="0.4">
      <c r="F8" s="94" t="s">
        <v>22</v>
      </c>
      <c r="G8" s="95"/>
      <c r="H8" s="95"/>
      <c r="I8" s="95"/>
      <c r="J8" s="95"/>
      <c r="K8" s="95"/>
      <c r="L8" s="96"/>
    </row>
    <row r="9" spans="1:12" ht="12.75" customHeight="1" thickBot="1" x14ac:dyDescent="0.4">
      <c r="F9" s="55">
        <v>1</v>
      </c>
      <c r="G9" s="56">
        <v>2</v>
      </c>
      <c r="H9" s="55">
        <v>3</v>
      </c>
      <c r="I9" s="56">
        <v>4</v>
      </c>
      <c r="J9" s="55">
        <v>5</v>
      </c>
      <c r="K9" s="56">
        <v>6</v>
      </c>
      <c r="L9" s="55">
        <v>7</v>
      </c>
    </row>
    <row r="10" spans="1:12" s="3" customFormat="1" ht="27" customHeight="1" x14ac:dyDescent="0.35">
      <c r="A10" s="17" t="s">
        <v>23</v>
      </c>
      <c r="B10" s="19" t="s">
        <v>16</v>
      </c>
      <c r="C10" s="18" t="s">
        <v>24</v>
      </c>
      <c r="D10" s="50" t="s">
        <v>29</v>
      </c>
      <c r="E10" s="20" t="s">
        <v>25</v>
      </c>
      <c r="F10" s="28">
        <f>E6</f>
        <v>0</v>
      </c>
      <c r="G10" s="21">
        <f>F10+1</f>
        <v>1</v>
      </c>
      <c r="H10" s="21">
        <f t="shared" ref="H10:L10" si="0">G10+1</f>
        <v>2</v>
      </c>
      <c r="I10" s="21">
        <f t="shared" si="0"/>
        <v>3</v>
      </c>
      <c r="J10" s="21">
        <f t="shared" si="0"/>
        <v>4</v>
      </c>
      <c r="K10" s="21">
        <f t="shared" si="0"/>
        <v>5</v>
      </c>
      <c r="L10" s="21">
        <f t="shared" si="0"/>
        <v>6</v>
      </c>
    </row>
    <row r="11" spans="1:12" s="34" customFormat="1" ht="13.15" x14ac:dyDescent="0.35">
      <c r="A11" s="30"/>
      <c r="B11" s="31"/>
      <c r="C11" s="32"/>
      <c r="D11" s="51"/>
      <c r="E11" s="29"/>
      <c r="F11" s="33"/>
      <c r="G11" s="33"/>
      <c r="H11" s="33"/>
      <c r="I11" s="33"/>
      <c r="J11" s="31"/>
      <c r="K11" s="31"/>
      <c r="L11" s="31"/>
    </row>
    <row r="12" spans="1:12" s="34" customFormat="1" ht="13.15" x14ac:dyDescent="0.35">
      <c r="A12" s="30"/>
      <c r="B12" s="31"/>
      <c r="C12" s="32"/>
      <c r="D12" s="51"/>
      <c r="E12" s="29"/>
      <c r="F12" s="33"/>
      <c r="G12" s="33"/>
      <c r="H12" s="33"/>
      <c r="I12" s="33"/>
      <c r="J12" s="31"/>
      <c r="K12" s="31"/>
      <c r="L12" s="31"/>
    </row>
    <row r="13" spans="1:12" s="34" customFormat="1" ht="13.15" x14ac:dyDescent="0.35">
      <c r="A13" s="30"/>
      <c r="B13" s="48"/>
      <c r="C13" s="32"/>
      <c r="D13" s="51"/>
      <c r="E13" s="29"/>
      <c r="F13" s="33"/>
      <c r="G13" s="31"/>
      <c r="H13" s="31"/>
      <c r="I13" s="31"/>
      <c r="J13" s="31"/>
      <c r="K13" s="31"/>
      <c r="L13" s="31"/>
    </row>
    <row r="14" spans="1:12" s="34" customFormat="1" ht="13.15" x14ac:dyDescent="0.35">
      <c r="A14" s="30"/>
      <c r="B14" s="48"/>
      <c r="C14" s="32"/>
      <c r="D14" s="51"/>
      <c r="E14" s="29"/>
      <c r="F14" s="33"/>
      <c r="G14" s="31"/>
      <c r="H14" s="31"/>
      <c r="I14" s="31"/>
      <c r="J14" s="31"/>
      <c r="K14" s="31"/>
      <c r="L14" s="31"/>
    </row>
    <row r="15" spans="1:12" s="34" customFormat="1" ht="13.15" x14ac:dyDescent="0.35">
      <c r="A15" s="30"/>
      <c r="B15" s="48"/>
      <c r="C15" s="32"/>
      <c r="D15" s="51"/>
      <c r="E15" s="29"/>
      <c r="F15" s="33"/>
      <c r="G15" s="31"/>
      <c r="H15" s="31"/>
      <c r="I15" s="31"/>
      <c r="J15" s="31"/>
      <c r="K15" s="31"/>
      <c r="L15" s="31"/>
    </row>
    <row r="16" spans="1:12" s="34" customFormat="1" ht="13.15" x14ac:dyDescent="0.35">
      <c r="A16" s="30"/>
      <c r="B16" s="48"/>
      <c r="C16" s="32"/>
      <c r="D16" s="51"/>
      <c r="E16" s="29"/>
      <c r="F16" s="33"/>
      <c r="G16" s="31"/>
      <c r="H16" s="31"/>
      <c r="I16" s="31"/>
      <c r="J16" s="31"/>
      <c r="K16" s="31"/>
      <c r="L16" s="31"/>
    </row>
    <row r="17" spans="1:19" s="8" customFormat="1" ht="13.15" x14ac:dyDescent="0.35">
      <c r="A17" s="30"/>
      <c r="B17" s="48"/>
      <c r="C17" s="24"/>
      <c r="D17" s="52"/>
      <c r="E17" s="29"/>
      <c r="F17" s="33"/>
      <c r="G17" s="25"/>
      <c r="H17" s="25"/>
      <c r="I17" s="25"/>
      <c r="J17" s="25"/>
      <c r="K17" s="25"/>
      <c r="L17" s="25"/>
    </row>
    <row r="18" spans="1:19" s="8" customFormat="1" ht="13.5" thickBot="1" x14ac:dyDescent="0.4">
      <c r="A18" s="57"/>
      <c r="B18" s="58"/>
      <c r="C18" s="26"/>
      <c r="D18" s="26"/>
      <c r="E18" s="59"/>
      <c r="F18" s="57"/>
      <c r="G18" s="27"/>
      <c r="H18" s="27"/>
      <c r="I18" s="27"/>
      <c r="J18" s="27"/>
      <c r="K18" s="27"/>
      <c r="L18" s="27"/>
    </row>
    <row r="20" spans="1:19" ht="13.15" x14ac:dyDescent="0.35">
      <c r="C20" s="12" t="s">
        <v>26</v>
      </c>
      <c r="D20" s="53"/>
      <c r="E20" s="97">
        <f>10*E7</f>
        <v>30</v>
      </c>
      <c r="F20" s="9" t="e">
        <f>IF(SUM(F11:F18)&gt;0,E20-SUM(F11:F18),NA())</f>
        <v>#N/A</v>
      </c>
      <c r="G20" s="9" t="e">
        <f>IF(SUM(G11:G18)&gt;0,E20-SUM(F11:G18),NA())</f>
        <v>#N/A</v>
      </c>
      <c r="H20" s="9" t="e">
        <f>IF(SUM(H11:H18)&gt;0,F20-SUM(G11:H18),NA())</f>
        <v>#N/A</v>
      </c>
      <c r="I20" s="9" t="e">
        <f>IF(SUM(I11:I18)&gt;0,E20-SUM(F11:I18),NA())</f>
        <v>#N/A</v>
      </c>
      <c r="J20" s="9" t="e">
        <f>IF(SUM(J11:J18)&gt;0,E20-SUM(F11:J18),NA())</f>
        <v>#N/A</v>
      </c>
      <c r="K20" s="9" t="e">
        <f>IF(SUM(K11:K18)&gt;0,E20-SUM(F11:K18),NA())</f>
        <v>#N/A</v>
      </c>
      <c r="L20" s="9" t="e">
        <f>IF(SUM(L11:L18)&gt;0,E20-SUM(F11:L18),NA())</f>
        <v>#N/A</v>
      </c>
    </row>
    <row r="21" spans="1:19" ht="13.15" x14ac:dyDescent="0.35">
      <c r="C21" s="12" t="s">
        <v>27</v>
      </c>
      <c r="D21" s="54"/>
      <c r="E21" s="98"/>
      <c r="F21" s="10" t="e">
        <f>$E$20-(F20/7)</f>
        <v>#N/A</v>
      </c>
      <c r="G21" s="10" t="e">
        <f>F21-($E$20/7)</f>
        <v>#N/A</v>
      </c>
      <c r="H21" s="10" t="e">
        <f t="shared" ref="H21:L21" si="1">G21-($E$20/7)</f>
        <v>#N/A</v>
      </c>
      <c r="I21" s="10" t="e">
        <f t="shared" si="1"/>
        <v>#N/A</v>
      </c>
      <c r="J21" s="10" t="e">
        <f t="shared" si="1"/>
        <v>#N/A</v>
      </c>
      <c r="K21" s="10" t="e">
        <f t="shared" si="1"/>
        <v>#N/A</v>
      </c>
      <c r="L21" s="10" t="e">
        <f t="shared" si="1"/>
        <v>#N/A</v>
      </c>
    </row>
    <row r="22" spans="1:19" x14ac:dyDescent="0.35">
      <c r="M22" s="4"/>
      <c r="N22" s="4"/>
      <c r="O22" s="4"/>
      <c r="P22" s="4"/>
      <c r="Q22" s="4"/>
      <c r="R22" s="4"/>
      <c r="S22" s="4"/>
    </row>
    <row r="23" spans="1:19" x14ac:dyDescent="0.35">
      <c r="M23" s="4"/>
      <c r="N23" s="4"/>
      <c r="O23" s="4"/>
      <c r="P23" s="4"/>
      <c r="Q23" s="4"/>
      <c r="R23" s="4"/>
      <c r="S23" s="4"/>
    </row>
    <row r="24" spans="1:19" x14ac:dyDescent="0.35">
      <c r="M24" s="4"/>
      <c r="N24" s="4"/>
      <c r="O24" s="4"/>
      <c r="P24" s="4"/>
      <c r="Q24" s="4"/>
      <c r="R24" s="4"/>
      <c r="S24" s="4"/>
    </row>
    <row r="25" spans="1:19" x14ac:dyDescent="0.35">
      <c r="M25" s="4"/>
      <c r="N25" s="4"/>
      <c r="O25" s="4"/>
      <c r="P25" s="4"/>
      <c r="Q25" s="4"/>
      <c r="R25" s="4"/>
      <c r="S25" s="4"/>
    </row>
    <row r="26" spans="1:19" x14ac:dyDescent="0.35">
      <c r="K26" s="7">
        <v>0</v>
      </c>
      <c r="L26" s="4">
        <f>SUM(E11:E19)</f>
        <v>0</v>
      </c>
      <c r="M26" s="4"/>
      <c r="N26" s="4"/>
      <c r="O26" s="4"/>
      <c r="P26" s="4"/>
      <c r="Q26" s="4"/>
      <c r="R26" s="7">
        <v>0</v>
      </c>
      <c r="S26" s="4">
        <f>SUM(L11:L19)</f>
        <v>0</v>
      </c>
    </row>
    <row r="27" spans="1:19" x14ac:dyDescent="0.35">
      <c r="K27" s="7">
        <v>10</v>
      </c>
      <c r="L27" s="7">
        <v>0</v>
      </c>
      <c r="M27" s="4"/>
      <c r="N27" s="4"/>
      <c r="O27" s="4"/>
      <c r="P27" s="4"/>
      <c r="Q27" s="4"/>
      <c r="R27" s="7">
        <v>10</v>
      </c>
      <c r="S27" s="7">
        <v>0</v>
      </c>
    </row>
    <row r="28" spans="1:19" x14ac:dyDescent="0.35">
      <c r="M28" s="4"/>
      <c r="N28" s="4"/>
      <c r="O28" s="4"/>
      <c r="P28" s="4"/>
      <c r="Q28" s="4"/>
      <c r="R28" s="4"/>
      <c r="S28" s="4"/>
    </row>
    <row r="29" spans="1:19" x14ac:dyDescent="0.35">
      <c r="M29" s="4"/>
      <c r="N29" s="4"/>
      <c r="O29" s="4"/>
      <c r="P29" s="4"/>
      <c r="Q29" s="4"/>
      <c r="R29" s="4"/>
      <c r="S29" s="4"/>
    </row>
    <row r="30" spans="1:19" x14ac:dyDescent="0.35">
      <c r="M30" s="4"/>
      <c r="N30" s="4"/>
      <c r="O30" s="4"/>
      <c r="P30" s="4"/>
      <c r="Q30" s="4"/>
      <c r="R30" s="4"/>
      <c r="S30" s="4"/>
    </row>
    <row r="31" spans="1:19" x14ac:dyDescent="0.35">
      <c r="M31" s="4"/>
      <c r="N31" s="4"/>
      <c r="O31" s="4"/>
      <c r="P31" s="4"/>
      <c r="Q31" s="4"/>
      <c r="R31" s="4"/>
      <c r="S31" s="4"/>
    </row>
    <row r="32" spans="1:19" x14ac:dyDescent="0.35">
      <c r="M32" s="4"/>
      <c r="N32" s="4"/>
      <c r="O32" s="4"/>
      <c r="P32" s="4"/>
      <c r="Q32" s="4"/>
      <c r="R32" s="4"/>
      <c r="S32" s="4"/>
    </row>
    <row r="33" spans="13:19" x14ac:dyDescent="0.35">
      <c r="M33" s="4"/>
      <c r="N33" s="4"/>
      <c r="O33" s="4"/>
      <c r="P33" s="4"/>
      <c r="Q33" s="4"/>
      <c r="R33" s="4"/>
      <c r="S33" s="4"/>
    </row>
    <row r="34" spans="13:19" x14ac:dyDescent="0.35">
      <c r="M34" s="4"/>
      <c r="N34" s="4"/>
      <c r="O34" s="4"/>
      <c r="P34" s="4"/>
      <c r="Q34" s="4"/>
      <c r="R34" s="4"/>
      <c r="S34" s="4"/>
    </row>
    <row r="35" spans="13:19" x14ac:dyDescent="0.35">
      <c r="M35" s="4"/>
      <c r="N35" s="4"/>
      <c r="O35" s="4"/>
      <c r="P35" s="4"/>
      <c r="Q35" s="4"/>
      <c r="R35" s="4"/>
      <c r="S35" s="4"/>
    </row>
    <row r="36" spans="13:19" x14ac:dyDescent="0.35">
      <c r="M36" s="4"/>
      <c r="N36" s="4"/>
      <c r="O36" s="4"/>
      <c r="P36" s="4"/>
      <c r="Q36" s="4"/>
      <c r="R36" s="4"/>
      <c r="S36" s="4"/>
    </row>
    <row r="37" spans="13:19" x14ac:dyDescent="0.35">
      <c r="M37" s="4"/>
      <c r="N37" s="4"/>
      <c r="O37" s="4"/>
      <c r="P37" s="4"/>
      <c r="Q37" s="4"/>
      <c r="R37" s="4"/>
      <c r="S37" s="4"/>
    </row>
    <row r="38" spans="13:19" x14ac:dyDescent="0.35">
      <c r="M38" s="4"/>
      <c r="N38" s="4"/>
      <c r="O38" s="4"/>
      <c r="P38" s="4"/>
      <c r="Q38" s="4"/>
      <c r="R38" s="4"/>
      <c r="S38" s="4"/>
    </row>
    <row r="39" spans="13:19" x14ac:dyDescent="0.35">
      <c r="M39" s="4"/>
      <c r="N39" s="4"/>
      <c r="O39" s="4"/>
      <c r="P39" s="4"/>
      <c r="Q39" s="4"/>
      <c r="R39" s="4"/>
      <c r="S39" s="4"/>
    </row>
    <row r="40" spans="13:19" x14ac:dyDescent="0.35">
      <c r="M40" s="4"/>
      <c r="N40" s="4"/>
      <c r="O40" s="4"/>
      <c r="P40" s="4"/>
      <c r="Q40" s="4"/>
      <c r="R40" s="4"/>
      <c r="S40" s="4"/>
    </row>
    <row r="41" spans="13:19" x14ac:dyDescent="0.35">
      <c r="M41" s="4"/>
      <c r="N41" s="4"/>
      <c r="O41" s="4"/>
      <c r="P41" s="4"/>
      <c r="Q41" s="4"/>
      <c r="R41" s="4"/>
      <c r="S41" s="4"/>
    </row>
    <row r="42" spans="13:19" x14ac:dyDescent="0.35">
      <c r="M42" s="4"/>
      <c r="N42" s="4"/>
      <c r="O42" s="4"/>
      <c r="P42" s="4"/>
      <c r="Q42" s="4"/>
      <c r="R42" s="4"/>
      <c r="S42" s="4"/>
    </row>
    <row r="43" spans="13:19" x14ac:dyDescent="0.35">
      <c r="M43" s="4"/>
      <c r="N43" s="4"/>
      <c r="O43" s="4"/>
      <c r="P43" s="4"/>
      <c r="Q43" s="4"/>
      <c r="R43" s="4"/>
      <c r="S43" s="4"/>
    </row>
    <row r="44" spans="13:19" x14ac:dyDescent="0.35">
      <c r="M44" s="4"/>
      <c r="N44" s="4"/>
      <c r="O44" s="4"/>
      <c r="P44" s="4"/>
      <c r="Q44" s="4"/>
      <c r="R44" s="4"/>
      <c r="S44" s="4"/>
    </row>
  </sheetData>
  <sheetProtection formatCells="0" formatColumns="0" formatRows="0" insertRows="0" autoFilter="0"/>
  <autoFilter ref="A10:E10" xr:uid="{00000000-0009-0000-0000-000002000000}"/>
  <mergeCells count="4">
    <mergeCell ref="A2:L2"/>
    <mergeCell ref="E4:J4"/>
    <mergeCell ref="F8:L8"/>
    <mergeCell ref="E20:E21"/>
  </mergeCells>
  <conditionalFormatting sqref="F20:L20">
    <cfRule type="cellIs" dxfId="9" priority="1" stopIfTrue="1" operator="lessThan">
      <formula>F21</formula>
    </cfRule>
    <cfRule type="cellIs" dxfId="8" priority="2" stopIfTrue="1" operator="greaterThan">
      <formula>F21</formula>
    </cfRule>
  </conditionalFormatting>
  <pageMargins left="0.75" right="0.75" top="1" bottom="1" header="0.5" footer="0.5"/>
  <headerFooter alignWithMargins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E9F43-75D4-41DB-BCA0-715ED929E193}">
  <dimension ref="A2:S44"/>
  <sheetViews>
    <sheetView workbookViewId="0">
      <selection activeCell="E5" sqref="E5"/>
    </sheetView>
  </sheetViews>
  <sheetFormatPr defaultColWidth="11.46484375" defaultRowHeight="12.75" x14ac:dyDescent="0.35"/>
  <cols>
    <col min="1" max="2" width="6.86328125" style="5" customWidth="1"/>
    <col min="3" max="3" width="33.86328125" style="6" customWidth="1"/>
    <col min="4" max="4" width="21.1328125" style="6" customWidth="1"/>
    <col min="5" max="5" width="10.46484375" style="4" customWidth="1"/>
    <col min="6" max="12" width="11.46484375" style="4" customWidth="1"/>
    <col min="13" max="16384" width="11.46484375" style="5"/>
  </cols>
  <sheetData>
    <row r="2" spans="1:12" customFormat="1" ht="43.5" customHeight="1" x14ac:dyDescent="0.35">
      <c r="A2" s="90" t="str">
        <f>CONCATENATE("Sprint #",E5, "Tracking Sheet")</f>
        <v>Sprint #4Tracking Sheet</v>
      </c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</row>
    <row r="4" spans="1:12" customFormat="1" ht="13.15" x14ac:dyDescent="0.4">
      <c r="A4" s="2"/>
      <c r="B4" s="5"/>
      <c r="C4" s="35" t="s">
        <v>12</v>
      </c>
      <c r="D4" s="49"/>
      <c r="E4" s="91" t="s">
        <v>103</v>
      </c>
      <c r="F4" s="92"/>
      <c r="G4" s="92"/>
      <c r="H4" s="92"/>
      <c r="I4" s="92"/>
      <c r="J4" s="93"/>
    </row>
    <row r="5" spans="1:12" ht="13.15" x14ac:dyDescent="0.35">
      <c r="C5" s="11" t="s">
        <v>20</v>
      </c>
      <c r="D5" s="11"/>
      <c r="E5" s="22">
        <v>4</v>
      </c>
    </row>
    <row r="6" spans="1:12" ht="13.15" x14ac:dyDescent="0.35">
      <c r="C6" s="11" t="s">
        <v>21</v>
      </c>
      <c r="D6" s="11"/>
      <c r="E6" s="23">
        <v>45790</v>
      </c>
    </row>
    <row r="7" spans="1:12" ht="13.5" thickBot="1" x14ac:dyDescent="0.4">
      <c r="C7" s="3"/>
      <c r="D7" s="11" t="s">
        <v>31</v>
      </c>
      <c r="E7" s="22">
        <v>3</v>
      </c>
    </row>
    <row r="8" spans="1:12" ht="13.5" thickBot="1" x14ac:dyDescent="0.4">
      <c r="F8" s="94" t="s">
        <v>22</v>
      </c>
      <c r="G8" s="95"/>
      <c r="H8" s="95"/>
      <c r="I8" s="95"/>
      <c r="J8" s="95"/>
      <c r="K8" s="95"/>
      <c r="L8" s="96"/>
    </row>
    <row r="9" spans="1:12" ht="12.75" customHeight="1" thickBot="1" x14ac:dyDescent="0.4">
      <c r="F9" s="55">
        <v>1</v>
      </c>
      <c r="G9" s="56">
        <v>2</v>
      </c>
      <c r="H9" s="55">
        <v>3</v>
      </c>
      <c r="I9" s="56">
        <v>4</v>
      </c>
      <c r="J9" s="55">
        <v>5</v>
      </c>
      <c r="K9" s="56">
        <v>6</v>
      </c>
      <c r="L9" s="55">
        <v>7</v>
      </c>
    </row>
    <row r="10" spans="1:12" s="3" customFormat="1" ht="27" customHeight="1" x14ac:dyDescent="0.35">
      <c r="A10" s="17" t="s">
        <v>23</v>
      </c>
      <c r="B10" s="19" t="s">
        <v>16</v>
      </c>
      <c r="C10" s="18" t="s">
        <v>24</v>
      </c>
      <c r="D10" s="50" t="s">
        <v>29</v>
      </c>
      <c r="E10" s="20" t="s">
        <v>25</v>
      </c>
      <c r="F10" s="28">
        <f>E6</f>
        <v>45790</v>
      </c>
      <c r="G10" s="21">
        <f>F10+1</f>
        <v>45791</v>
      </c>
      <c r="H10" s="21">
        <f t="shared" ref="H10:L10" si="0">G10+1</f>
        <v>45792</v>
      </c>
      <c r="I10" s="21">
        <f t="shared" si="0"/>
        <v>45793</v>
      </c>
      <c r="J10" s="21">
        <f t="shared" si="0"/>
        <v>45794</v>
      </c>
      <c r="K10" s="21">
        <f t="shared" si="0"/>
        <v>45795</v>
      </c>
      <c r="L10" s="21">
        <f t="shared" si="0"/>
        <v>45796</v>
      </c>
    </row>
    <row r="11" spans="1:12" s="34" customFormat="1" ht="13.15" x14ac:dyDescent="0.35">
      <c r="A11" s="30"/>
      <c r="B11" s="31"/>
      <c r="C11" s="32"/>
      <c r="D11" s="51"/>
      <c r="E11" s="29"/>
      <c r="F11" s="33"/>
      <c r="G11" s="33"/>
      <c r="H11" s="33"/>
      <c r="I11" s="33"/>
      <c r="J11" s="31"/>
      <c r="K11" s="31"/>
      <c r="L11" s="31"/>
    </row>
    <row r="12" spans="1:12" s="34" customFormat="1" ht="13.15" x14ac:dyDescent="0.35">
      <c r="A12" s="30"/>
      <c r="B12" s="31"/>
      <c r="C12" s="32"/>
      <c r="D12" s="51"/>
      <c r="E12" s="29"/>
      <c r="F12" s="33"/>
      <c r="G12" s="33"/>
      <c r="H12" s="33"/>
      <c r="I12" s="33"/>
      <c r="J12" s="31"/>
      <c r="K12" s="31"/>
      <c r="L12" s="31"/>
    </row>
    <row r="13" spans="1:12" s="34" customFormat="1" ht="13.15" x14ac:dyDescent="0.35">
      <c r="A13" s="30"/>
      <c r="B13" s="48"/>
      <c r="C13" s="32"/>
      <c r="D13" s="51"/>
      <c r="E13" s="29"/>
      <c r="F13" s="33"/>
      <c r="G13" s="31"/>
      <c r="H13" s="31"/>
      <c r="I13" s="31"/>
      <c r="J13" s="31"/>
      <c r="K13" s="31"/>
      <c r="L13" s="31"/>
    </row>
    <row r="14" spans="1:12" s="34" customFormat="1" ht="13.15" x14ac:dyDescent="0.35">
      <c r="A14" s="30"/>
      <c r="B14" s="48"/>
      <c r="C14" s="32"/>
      <c r="D14" s="51"/>
      <c r="E14" s="29"/>
      <c r="F14" s="33"/>
      <c r="G14" s="31"/>
      <c r="H14" s="31"/>
      <c r="I14" s="31"/>
      <c r="J14" s="31"/>
      <c r="K14" s="31"/>
      <c r="L14" s="31"/>
    </row>
    <row r="15" spans="1:12" s="34" customFormat="1" ht="13.15" x14ac:dyDescent="0.35">
      <c r="A15" s="30"/>
      <c r="B15" s="48"/>
      <c r="C15" s="32"/>
      <c r="D15" s="51"/>
      <c r="E15" s="29"/>
      <c r="F15" s="33"/>
      <c r="G15" s="31"/>
      <c r="H15" s="31"/>
      <c r="I15" s="31"/>
      <c r="J15" s="31"/>
      <c r="K15" s="31"/>
      <c r="L15" s="31"/>
    </row>
    <row r="16" spans="1:12" s="34" customFormat="1" ht="13.15" x14ac:dyDescent="0.35">
      <c r="A16" s="30"/>
      <c r="B16" s="48"/>
      <c r="C16" s="32"/>
      <c r="D16" s="51"/>
      <c r="E16" s="29"/>
      <c r="F16" s="33"/>
      <c r="G16" s="31"/>
      <c r="H16" s="31"/>
      <c r="I16" s="31"/>
      <c r="J16" s="31"/>
      <c r="K16" s="31"/>
      <c r="L16" s="31"/>
    </row>
    <row r="17" spans="1:19" s="8" customFormat="1" ht="13.15" x14ac:dyDescent="0.35">
      <c r="A17" s="30"/>
      <c r="B17" s="48"/>
      <c r="C17" s="24"/>
      <c r="D17" s="52"/>
      <c r="E17" s="29"/>
      <c r="F17" s="33"/>
      <c r="G17" s="25"/>
      <c r="H17" s="25"/>
      <c r="I17" s="25"/>
      <c r="J17" s="25"/>
      <c r="K17" s="25"/>
      <c r="L17" s="25"/>
    </row>
    <row r="18" spans="1:19" s="8" customFormat="1" ht="13.5" thickBot="1" x14ac:dyDescent="0.4">
      <c r="A18" s="57"/>
      <c r="B18" s="58"/>
      <c r="C18" s="26"/>
      <c r="D18" s="26"/>
      <c r="E18" s="59"/>
      <c r="F18" s="57"/>
      <c r="G18" s="27"/>
      <c r="H18" s="27"/>
      <c r="I18" s="27"/>
      <c r="J18" s="27"/>
      <c r="K18" s="27"/>
      <c r="L18" s="27"/>
    </row>
    <row r="20" spans="1:19" ht="13.15" x14ac:dyDescent="0.35">
      <c r="C20" s="12" t="s">
        <v>26</v>
      </c>
      <c r="D20" s="53"/>
      <c r="E20" s="97">
        <f>10*E7</f>
        <v>30</v>
      </c>
      <c r="F20" s="9" t="e">
        <f>IF(SUM(F11:F18)&gt;0,E20-SUM(F11:F18),NA())</f>
        <v>#N/A</v>
      </c>
      <c r="G20" s="9" t="e">
        <f>IF(SUM(G11:G18)&gt;0,E20-SUM(F11:G18),NA())</f>
        <v>#N/A</v>
      </c>
      <c r="H20" s="9" t="e">
        <f>IF(SUM(H11:H18)&gt;0,F20-SUM(G11:H18),NA())</f>
        <v>#N/A</v>
      </c>
      <c r="I20" s="9" t="e">
        <f>IF(SUM(I11:I18)&gt;0,E20-SUM(F11:I18),NA())</f>
        <v>#N/A</v>
      </c>
      <c r="J20" s="9" t="e">
        <f>IF(SUM(J11:J18)&gt;0,E20-SUM(F11:J18),NA())</f>
        <v>#N/A</v>
      </c>
      <c r="K20" s="9" t="e">
        <f>IF(SUM(K11:K18)&gt;0,E20-SUM(F11:K18),NA())</f>
        <v>#N/A</v>
      </c>
      <c r="L20" s="9" t="e">
        <f>IF(SUM(L11:L18)&gt;0,E20-SUM(F11:L18),NA())</f>
        <v>#N/A</v>
      </c>
    </row>
    <row r="21" spans="1:19" ht="13.15" x14ac:dyDescent="0.35">
      <c r="C21" s="12" t="s">
        <v>27</v>
      </c>
      <c r="D21" s="54"/>
      <c r="E21" s="98"/>
      <c r="F21" s="10" t="e">
        <f>$E$20-(F20/7)</f>
        <v>#N/A</v>
      </c>
      <c r="G21" s="10" t="e">
        <f>F21-($E$20/7)</f>
        <v>#N/A</v>
      </c>
      <c r="H21" s="10" t="e">
        <f t="shared" ref="H21:L21" si="1">G21-($E$20/7)</f>
        <v>#N/A</v>
      </c>
      <c r="I21" s="10" t="e">
        <f t="shared" si="1"/>
        <v>#N/A</v>
      </c>
      <c r="J21" s="10" t="e">
        <f t="shared" si="1"/>
        <v>#N/A</v>
      </c>
      <c r="K21" s="10" t="e">
        <f t="shared" si="1"/>
        <v>#N/A</v>
      </c>
      <c r="L21" s="10" t="e">
        <f t="shared" si="1"/>
        <v>#N/A</v>
      </c>
    </row>
    <row r="22" spans="1:19" x14ac:dyDescent="0.35">
      <c r="M22" s="4"/>
      <c r="N22" s="4"/>
      <c r="O22" s="4"/>
      <c r="P22" s="4"/>
      <c r="Q22" s="4"/>
      <c r="R22" s="4"/>
      <c r="S22" s="4"/>
    </row>
    <row r="23" spans="1:19" x14ac:dyDescent="0.35">
      <c r="M23" s="4"/>
      <c r="N23" s="4"/>
      <c r="O23" s="4"/>
      <c r="P23" s="4"/>
      <c r="Q23" s="4"/>
      <c r="R23" s="4"/>
      <c r="S23" s="4"/>
    </row>
    <row r="24" spans="1:19" x14ac:dyDescent="0.35">
      <c r="M24" s="4"/>
      <c r="N24" s="4"/>
      <c r="O24" s="4"/>
      <c r="P24" s="4"/>
      <c r="Q24" s="4"/>
      <c r="R24" s="4"/>
      <c r="S24" s="4"/>
    </row>
    <row r="25" spans="1:19" x14ac:dyDescent="0.35">
      <c r="M25" s="4"/>
      <c r="N25" s="4"/>
      <c r="O25" s="4"/>
      <c r="P25" s="4"/>
      <c r="Q25" s="4"/>
      <c r="R25" s="4"/>
      <c r="S25" s="4"/>
    </row>
    <row r="26" spans="1:19" x14ac:dyDescent="0.35">
      <c r="K26" s="7">
        <v>0</v>
      </c>
      <c r="L26" s="4">
        <f>SUM(E11:E19)</f>
        <v>0</v>
      </c>
      <c r="M26" s="4"/>
      <c r="N26" s="4"/>
      <c r="O26" s="4"/>
      <c r="P26" s="4"/>
      <c r="Q26" s="4"/>
      <c r="R26" s="7">
        <v>0</v>
      </c>
      <c r="S26" s="4">
        <f>SUM(L11:L19)</f>
        <v>0</v>
      </c>
    </row>
    <row r="27" spans="1:19" x14ac:dyDescent="0.35">
      <c r="K27" s="7">
        <v>10</v>
      </c>
      <c r="L27" s="7">
        <v>0</v>
      </c>
      <c r="M27" s="4"/>
      <c r="N27" s="4"/>
      <c r="O27" s="4"/>
      <c r="P27" s="4"/>
      <c r="Q27" s="4"/>
      <c r="R27" s="7">
        <v>10</v>
      </c>
      <c r="S27" s="7">
        <v>0</v>
      </c>
    </row>
    <row r="28" spans="1:19" x14ac:dyDescent="0.35">
      <c r="M28" s="4"/>
      <c r="N28" s="4"/>
      <c r="O28" s="4"/>
      <c r="P28" s="4"/>
      <c r="Q28" s="4"/>
      <c r="R28" s="4"/>
      <c r="S28" s="4"/>
    </row>
    <row r="29" spans="1:19" x14ac:dyDescent="0.35">
      <c r="M29" s="4"/>
      <c r="N29" s="4"/>
      <c r="O29" s="4"/>
      <c r="P29" s="4"/>
      <c r="Q29" s="4"/>
      <c r="R29" s="4"/>
      <c r="S29" s="4"/>
    </row>
    <row r="30" spans="1:19" x14ac:dyDescent="0.35">
      <c r="M30" s="4"/>
      <c r="N30" s="4"/>
      <c r="O30" s="4"/>
      <c r="P30" s="4"/>
      <c r="Q30" s="4"/>
      <c r="R30" s="4"/>
      <c r="S30" s="4"/>
    </row>
    <row r="31" spans="1:19" x14ac:dyDescent="0.35">
      <c r="M31" s="4"/>
      <c r="N31" s="4"/>
      <c r="O31" s="4"/>
      <c r="P31" s="4"/>
      <c r="Q31" s="4"/>
      <c r="R31" s="4"/>
      <c r="S31" s="4"/>
    </row>
    <row r="32" spans="1:19" x14ac:dyDescent="0.35">
      <c r="M32" s="4"/>
      <c r="N32" s="4"/>
      <c r="O32" s="4"/>
      <c r="P32" s="4"/>
      <c r="Q32" s="4"/>
      <c r="R32" s="4"/>
      <c r="S32" s="4"/>
    </row>
    <row r="33" spans="13:19" x14ac:dyDescent="0.35">
      <c r="M33" s="4"/>
      <c r="N33" s="4"/>
      <c r="O33" s="4"/>
      <c r="P33" s="4"/>
      <c r="Q33" s="4"/>
      <c r="R33" s="4"/>
      <c r="S33" s="4"/>
    </row>
    <row r="34" spans="13:19" x14ac:dyDescent="0.35">
      <c r="M34" s="4"/>
      <c r="N34" s="4"/>
      <c r="O34" s="4"/>
      <c r="P34" s="4"/>
      <c r="Q34" s="4"/>
      <c r="R34" s="4"/>
      <c r="S34" s="4"/>
    </row>
    <row r="35" spans="13:19" x14ac:dyDescent="0.35">
      <c r="M35" s="4"/>
      <c r="N35" s="4"/>
      <c r="O35" s="4"/>
      <c r="P35" s="4"/>
      <c r="Q35" s="4"/>
      <c r="R35" s="4"/>
      <c r="S35" s="4"/>
    </row>
    <row r="36" spans="13:19" x14ac:dyDescent="0.35">
      <c r="M36" s="4"/>
      <c r="N36" s="4"/>
      <c r="O36" s="4"/>
      <c r="P36" s="4"/>
      <c r="Q36" s="4"/>
      <c r="R36" s="4"/>
      <c r="S36" s="4"/>
    </row>
    <row r="37" spans="13:19" x14ac:dyDescent="0.35">
      <c r="M37" s="4"/>
      <c r="N37" s="4"/>
      <c r="O37" s="4"/>
      <c r="P37" s="4"/>
      <c r="Q37" s="4"/>
      <c r="R37" s="4"/>
      <c r="S37" s="4"/>
    </row>
    <row r="38" spans="13:19" x14ac:dyDescent="0.35">
      <c r="M38" s="4"/>
      <c r="N38" s="4"/>
      <c r="O38" s="4"/>
      <c r="P38" s="4"/>
      <c r="Q38" s="4"/>
      <c r="R38" s="4"/>
      <c r="S38" s="4"/>
    </row>
    <row r="39" spans="13:19" x14ac:dyDescent="0.35">
      <c r="M39" s="4"/>
      <c r="N39" s="4"/>
      <c r="O39" s="4"/>
      <c r="P39" s="4"/>
      <c r="Q39" s="4"/>
      <c r="R39" s="4"/>
      <c r="S39" s="4"/>
    </row>
    <row r="40" spans="13:19" x14ac:dyDescent="0.35">
      <c r="M40" s="4"/>
      <c r="N40" s="4"/>
      <c r="O40" s="4"/>
      <c r="P40" s="4"/>
      <c r="Q40" s="4"/>
      <c r="R40" s="4"/>
      <c r="S40" s="4"/>
    </row>
    <row r="41" spans="13:19" x14ac:dyDescent="0.35">
      <c r="M41" s="4"/>
      <c r="N41" s="4"/>
      <c r="O41" s="4"/>
      <c r="P41" s="4"/>
      <c r="Q41" s="4"/>
      <c r="R41" s="4"/>
      <c r="S41" s="4"/>
    </row>
    <row r="42" spans="13:19" x14ac:dyDescent="0.35">
      <c r="M42" s="4"/>
      <c r="N42" s="4"/>
      <c r="O42" s="4"/>
      <c r="P42" s="4"/>
      <c r="Q42" s="4"/>
      <c r="R42" s="4"/>
      <c r="S42" s="4"/>
    </row>
    <row r="43" spans="13:19" x14ac:dyDescent="0.35">
      <c r="M43" s="4"/>
      <c r="N43" s="4"/>
      <c r="O43" s="4"/>
      <c r="P43" s="4"/>
      <c r="Q43" s="4"/>
      <c r="R43" s="4"/>
      <c r="S43" s="4"/>
    </row>
    <row r="44" spans="13:19" x14ac:dyDescent="0.35">
      <c r="M44" s="4"/>
      <c r="N44" s="4"/>
      <c r="O44" s="4"/>
      <c r="P44" s="4"/>
      <c r="Q44" s="4"/>
      <c r="R44" s="4"/>
      <c r="S44" s="4"/>
    </row>
  </sheetData>
  <sheetProtection formatCells="0" formatColumns="0" formatRows="0" insertRows="0" autoFilter="0"/>
  <autoFilter ref="A10:E10" xr:uid="{00000000-0009-0000-0000-000002000000}"/>
  <mergeCells count="4">
    <mergeCell ref="A2:L2"/>
    <mergeCell ref="E4:J4"/>
    <mergeCell ref="F8:L8"/>
    <mergeCell ref="E20:E21"/>
  </mergeCells>
  <conditionalFormatting sqref="F20:L20">
    <cfRule type="cellIs" dxfId="7" priority="1" stopIfTrue="1" operator="lessThan">
      <formula>F21</formula>
    </cfRule>
    <cfRule type="cellIs" dxfId="6" priority="2" stopIfTrue="1" operator="greaterThan">
      <formula>F21</formula>
    </cfRule>
  </conditionalFormatting>
  <pageMargins left="0.75" right="0.75" top="1" bottom="1" header="0.5" footer="0.5"/>
  <headerFooter alignWithMargins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E9845-79AE-442D-B39A-3B9581667881}">
  <dimension ref="A2:S44"/>
  <sheetViews>
    <sheetView workbookViewId="0">
      <selection activeCell="E5" sqref="E5"/>
    </sheetView>
  </sheetViews>
  <sheetFormatPr defaultColWidth="11.46484375" defaultRowHeight="12.75" x14ac:dyDescent="0.35"/>
  <cols>
    <col min="1" max="2" width="6.86328125" style="5" customWidth="1"/>
    <col min="3" max="3" width="33.86328125" style="6" customWidth="1"/>
    <col min="4" max="4" width="21.1328125" style="6" customWidth="1"/>
    <col min="5" max="5" width="10.46484375" style="4" customWidth="1"/>
    <col min="6" max="12" width="11.46484375" style="4" customWidth="1"/>
    <col min="13" max="16384" width="11.46484375" style="5"/>
  </cols>
  <sheetData>
    <row r="2" spans="1:12" customFormat="1" ht="43.5" customHeight="1" x14ac:dyDescent="0.35">
      <c r="A2" s="90" t="str">
        <f>CONCATENATE("Sprint #",E5, "Tracking Sheet")</f>
        <v>Sprint #5Tracking Sheet</v>
      </c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</row>
    <row r="4" spans="1:12" customFormat="1" ht="13.15" x14ac:dyDescent="0.4">
      <c r="A4" s="2"/>
      <c r="B4" s="5"/>
      <c r="C4" s="35" t="s">
        <v>12</v>
      </c>
      <c r="D4" s="49"/>
      <c r="E4" s="91" t="s">
        <v>103</v>
      </c>
      <c r="F4" s="92"/>
      <c r="G4" s="92"/>
      <c r="H4" s="92"/>
      <c r="I4" s="92"/>
      <c r="J4" s="93"/>
    </row>
    <row r="5" spans="1:12" ht="13.15" x14ac:dyDescent="0.35">
      <c r="C5" s="11" t="s">
        <v>20</v>
      </c>
      <c r="D5" s="11"/>
      <c r="E5" s="22">
        <v>5</v>
      </c>
    </row>
    <row r="6" spans="1:12" ht="13.15" x14ac:dyDescent="0.35">
      <c r="C6" s="11" t="s">
        <v>21</v>
      </c>
      <c r="D6" s="11"/>
      <c r="E6" s="23">
        <v>45790</v>
      </c>
    </row>
    <row r="7" spans="1:12" ht="13.5" thickBot="1" x14ac:dyDescent="0.4">
      <c r="C7" s="3"/>
      <c r="D7" s="11" t="s">
        <v>31</v>
      </c>
      <c r="E7" s="22">
        <v>3</v>
      </c>
    </row>
    <row r="8" spans="1:12" ht="13.5" thickBot="1" x14ac:dyDescent="0.4">
      <c r="F8" s="94" t="s">
        <v>22</v>
      </c>
      <c r="G8" s="95"/>
      <c r="H8" s="95"/>
      <c r="I8" s="95"/>
      <c r="J8" s="95"/>
      <c r="K8" s="95"/>
      <c r="L8" s="96"/>
    </row>
    <row r="9" spans="1:12" ht="12.75" customHeight="1" thickBot="1" x14ac:dyDescent="0.4">
      <c r="F9" s="55">
        <v>1</v>
      </c>
      <c r="G9" s="56">
        <v>2</v>
      </c>
      <c r="H9" s="55">
        <v>3</v>
      </c>
      <c r="I9" s="56">
        <v>4</v>
      </c>
      <c r="J9" s="55">
        <v>5</v>
      </c>
      <c r="K9" s="56">
        <v>6</v>
      </c>
      <c r="L9" s="55">
        <v>7</v>
      </c>
    </row>
    <row r="10" spans="1:12" s="3" customFormat="1" ht="27" customHeight="1" x14ac:dyDescent="0.35">
      <c r="A10" s="17" t="s">
        <v>23</v>
      </c>
      <c r="B10" s="19" t="s">
        <v>16</v>
      </c>
      <c r="C10" s="18" t="s">
        <v>24</v>
      </c>
      <c r="D10" s="50" t="s">
        <v>29</v>
      </c>
      <c r="E10" s="20" t="s">
        <v>25</v>
      </c>
      <c r="F10" s="28">
        <f>E6</f>
        <v>45790</v>
      </c>
      <c r="G10" s="21">
        <f>F10+1</f>
        <v>45791</v>
      </c>
      <c r="H10" s="21">
        <f t="shared" ref="H10:L10" si="0">G10+1</f>
        <v>45792</v>
      </c>
      <c r="I10" s="21">
        <f t="shared" si="0"/>
        <v>45793</v>
      </c>
      <c r="J10" s="21">
        <f t="shared" si="0"/>
        <v>45794</v>
      </c>
      <c r="K10" s="21">
        <f t="shared" si="0"/>
        <v>45795</v>
      </c>
      <c r="L10" s="21">
        <f t="shared" si="0"/>
        <v>45796</v>
      </c>
    </row>
    <row r="11" spans="1:12" s="34" customFormat="1" ht="13.15" x14ac:dyDescent="0.35">
      <c r="A11" s="30"/>
      <c r="B11" s="31"/>
      <c r="C11" s="32"/>
      <c r="D11" s="51"/>
      <c r="E11" s="29"/>
      <c r="F11" s="33"/>
      <c r="G11" s="33"/>
      <c r="H11" s="33"/>
      <c r="I11" s="33"/>
      <c r="J11" s="31"/>
      <c r="K11" s="31"/>
      <c r="L11" s="31"/>
    </row>
    <row r="12" spans="1:12" s="34" customFormat="1" ht="13.15" x14ac:dyDescent="0.35">
      <c r="A12" s="30"/>
      <c r="B12" s="31"/>
      <c r="C12" s="32"/>
      <c r="D12" s="51"/>
      <c r="E12" s="29"/>
      <c r="F12" s="33"/>
      <c r="G12" s="33"/>
      <c r="H12" s="33"/>
      <c r="I12" s="33"/>
      <c r="J12" s="31"/>
      <c r="K12" s="31"/>
      <c r="L12" s="31"/>
    </row>
    <row r="13" spans="1:12" s="34" customFormat="1" ht="13.15" x14ac:dyDescent="0.35">
      <c r="A13" s="30"/>
      <c r="B13" s="48"/>
      <c r="C13" s="32"/>
      <c r="D13" s="51"/>
      <c r="E13" s="29"/>
      <c r="F13" s="33"/>
      <c r="G13" s="31"/>
      <c r="H13" s="31"/>
      <c r="I13" s="31"/>
      <c r="J13" s="31"/>
      <c r="K13" s="31"/>
      <c r="L13" s="31"/>
    </row>
    <row r="14" spans="1:12" s="34" customFormat="1" ht="13.15" x14ac:dyDescent="0.35">
      <c r="A14" s="30"/>
      <c r="B14" s="48"/>
      <c r="C14" s="32"/>
      <c r="D14" s="51"/>
      <c r="E14" s="29"/>
      <c r="F14" s="33"/>
      <c r="G14" s="31"/>
      <c r="H14" s="31"/>
      <c r="I14" s="31"/>
      <c r="J14" s="31"/>
      <c r="K14" s="31"/>
      <c r="L14" s="31"/>
    </row>
    <row r="15" spans="1:12" s="34" customFormat="1" ht="13.15" x14ac:dyDescent="0.35">
      <c r="A15" s="30"/>
      <c r="B15" s="48"/>
      <c r="C15" s="32"/>
      <c r="D15" s="51"/>
      <c r="E15" s="29"/>
      <c r="F15" s="33"/>
      <c r="G15" s="31"/>
      <c r="H15" s="31"/>
      <c r="I15" s="31"/>
      <c r="J15" s="31"/>
      <c r="K15" s="31"/>
      <c r="L15" s="31"/>
    </row>
    <row r="16" spans="1:12" s="34" customFormat="1" ht="13.15" x14ac:dyDescent="0.35">
      <c r="A16" s="30"/>
      <c r="B16" s="48"/>
      <c r="C16" s="32"/>
      <c r="D16" s="51"/>
      <c r="E16" s="29"/>
      <c r="F16" s="33"/>
      <c r="G16" s="31"/>
      <c r="H16" s="31"/>
      <c r="I16" s="31"/>
      <c r="J16" s="31"/>
      <c r="K16" s="31"/>
      <c r="L16" s="31"/>
    </row>
    <row r="17" spans="1:19" s="8" customFormat="1" ht="13.15" x14ac:dyDescent="0.35">
      <c r="A17" s="30"/>
      <c r="B17" s="48"/>
      <c r="C17" s="24"/>
      <c r="D17" s="52"/>
      <c r="E17" s="29"/>
      <c r="F17" s="33"/>
      <c r="G17" s="25"/>
      <c r="H17" s="25"/>
      <c r="I17" s="25"/>
      <c r="J17" s="25"/>
      <c r="K17" s="25"/>
      <c r="L17" s="25"/>
    </row>
    <row r="18" spans="1:19" s="8" customFormat="1" ht="13.5" thickBot="1" x14ac:dyDescent="0.4">
      <c r="A18" s="57"/>
      <c r="B18" s="58"/>
      <c r="C18" s="26"/>
      <c r="D18" s="26"/>
      <c r="E18" s="59"/>
      <c r="F18" s="57"/>
      <c r="G18" s="27"/>
      <c r="H18" s="27"/>
      <c r="I18" s="27"/>
      <c r="J18" s="27"/>
      <c r="K18" s="27"/>
      <c r="L18" s="27"/>
    </row>
    <row r="20" spans="1:19" ht="13.15" x14ac:dyDescent="0.35">
      <c r="C20" s="12" t="s">
        <v>26</v>
      </c>
      <c r="D20" s="53"/>
      <c r="E20" s="97">
        <f>10*E7</f>
        <v>30</v>
      </c>
      <c r="F20" s="9" t="e">
        <f>IF(SUM(F11:F18)&gt;0,E20-SUM(F11:F18),NA())</f>
        <v>#N/A</v>
      </c>
      <c r="G20" s="9" t="e">
        <f>IF(SUM(G11:G18)&gt;0,E20-SUM(F11:G18),NA())</f>
        <v>#N/A</v>
      </c>
      <c r="H20" s="9" t="e">
        <f>IF(SUM(H11:H18)&gt;0,F20-SUM(G11:H18),NA())</f>
        <v>#N/A</v>
      </c>
      <c r="I20" s="9" t="e">
        <f>IF(SUM(I11:I18)&gt;0,E20-SUM(F11:I18),NA())</f>
        <v>#N/A</v>
      </c>
      <c r="J20" s="9" t="e">
        <f>IF(SUM(J11:J18)&gt;0,E20-SUM(F11:J18),NA())</f>
        <v>#N/A</v>
      </c>
      <c r="K20" s="9" t="e">
        <f>IF(SUM(K11:K18)&gt;0,E20-SUM(F11:K18),NA())</f>
        <v>#N/A</v>
      </c>
      <c r="L20" s="9" t="e">
        <f>IF(SUM(L11:L18)&gt;0,E20-SUM(F11:L18),NA())</f>
        <v>#N/A</v>
      </c>
    </row>
    <row r="21" spans="1:19" ht="13.15" x14ac:dyDescent="0.35">
      <c r="C21" s="12" t="s">
        <v>27</v>
      </c>
      <c r="D21" s="54"/>
      <c r="E21" s="98"/>
      <c r="F21" s="10" t="e">
        <f>$E$20-(F20/7)</f>
        <v>#N/A</v>
      </c>
      <c r="G21" s="10" t="e">
        <f>F21-($E$20/7)</f>
        <v>#N/A</v>
      </c>
      <c r="H21" s="10" t="e">
        <f t="shared" ref="H21:L21" si="1">G21-($E$20/7)</f>
        <v>#N/A</v>
      </c>
      <c r="I21" s="10" t="e">
        <f t="shared" si="1"/>
        <v>#N/A</v>
      </c>
      <c r="J21" s="10" t="e">
        <f t="shared" si="1"/>
        <v>#N/A</v>
      </c>
      <c r="K21" s="10" t="e">
        <f t="shared" si="1"/>
        <v>#N/A</v>
      </c>
      <c r="L21" s="10" t="e">
        <f t="shared" si="1"/>
        <v>#N/A</v>
      </c>
    </row>
    <row r="22" spans="1:19" x14ac:dyDescent="0.35">
      <c r="M22" s="4"/>
      <c r="N22" s="4"/>
      <c r="O22" s="4"/>
      <c r="P22" s="4"/>
      <c r="Q22" s="4"/>
      <c r="R22" s="4"/>
      <c r="S22" s="4"/>
    </row>
    <row r="23" spans="1:19" x14ac:dyDescent="0.35">
      <c r="M23" s="4"/>
      <c r="N23" s="4"/>
      <c r="O23" s="4"/>
      <c r="P23" s="4"/>
      <c r="Q23" s="4"/>
      <c r="R23" s="4"/>
      <c r="S23" s="4"/>
    </row>
    <row r="24" spans="1:19" x14ac:dyDescent="0.35">
      <c r="M24" s="4"/>
      <c r="N24" s="4"/>
      <c r="O24" s="4"/>
      <c r="P24" s="4"/>
      <c r="Q24" s="4"/>
      <c r="R24" s="4"/>
      <c r="S24" s="4"/>
    </row>
    <row r="25" spans="1:19" x14ac:dyDescent="0.35">
      <c r="M25" s="4"/>
      <c r="N25" s="4"/>
      <c r="O25" s="4"/>
      <c r="P25" s="4"/>
      <c r="Q25" s="4"/>
      <c r="R25" s="4"/>
      <c r="S25" s="4"/>
    </row>
    <row r="26" spans="1:19" x14ac:dyDescent="0.35">
      <c r="K26" s="7">
        <v>0</v>
      </c>
      <c r="L26" s="4">
        <f>SUM(E11:E19)</f>
        <v>0</v>
      </c>
      <c r="M26" s="4"/>
      <c r="N26" s="4"/>
      <c r="O26" s="4"/>
      <c r="P26" s="4"/>
      <c r="Q26" s="4"/>
      <c r="R26" s="7">
        <v>0</v>
      </c>
      <c r="S26" s="4">
        <f>SUM(L11:L19)</f>
        <v>0</v>
      </c>
    </row>
    <row r="27" spans="1:19" x14ac:dyDescent="0.35">
      <c r="K27" s="7">
        <v>10</v>
      </c>
      <c r="L27" s="7">
        <v>0</v>
      </c>
      <c r="M27" s="4"/>
      <c r="N27" s="4"/>
      <c r="O27" s="4"/>
      <c r="P27" s="4"/>
      <c r="Q27" s="4"/>
      <c r="R27" s="7">
        <v>10</v>
      </c>
      <c r="S27" s="7">
        <v>0</v>
      </c>
    </row>
    <row r="28" spans="1:19" x14ac:dyDescent="0.35">
      <c r="M28" s="4"/>
      <c r="N28" s="4"/>
      <c r="O28" s="4"/>
      <c r="P28" s="4"/>
      <c r="Q28" s="4"/>
      <c r="R28" s="4"/>
      <c r="S28" s="4"/>
    </row>
    <row r="29" spans="1:19" x14ac:dyDescent="0.35">
      <c r="M29" s="4"/>
      <c r="N29" s="4"/>
      <c r="O29" s="4"/>
      <c r="P29" s="4"/>
      <c r="Q29" s="4"/>
      <c r="R29" s="4"/>
      <c r="S29" s="4"/>
    </row>
    <row r="30" spans="1:19" x14ac:dyDescent="0.35">
      <c r="M30" s="4"/>
      <c r="N30" s="4"/>
      <c r="O30" s="4"/>
      <c r="P30" s="4"/>
      <c r="Q30" s="4"/>
      <c r="R30" s="4"/>
      <c r="S30" s="4"/>
    </row>
    <row r="31" spans="1:19" x14ac:dyDescent="0.35">
      <c r="M31" s="4"/>
      <c r="N31" s="4"/>
      <c r="O31" s="4"/>
      <c r="P31" s="4"/>
      <c r="Q31" s="4"/>
      <c r="R31" s="4"/>
      <c r="S31" s="4"/>
    </row>
    <row r="32" spans="1:19" x14ac:dyDescent="0.35">
      <c r="M32" s="4"/>
      <c r="N32" s="4"/>
      <c r="O32" s="4"/>
      <c r="P32" s="4"/>
      <c r="Q32" s="4"/>
      <c r="R32" s="4"/>
      <c r="S32" s="4"/>
    </row>
    <row r="33" spans="13:19" x14ac:dyDescent="0.35">
      <c r="M33" s="4"/>
      <c r="N33" s="4"/>
      <c r="O33" s="4"/>
      <c r="P33" s="4"/>
      <c r="Q33" s="4"/>
      <c r="R33" s="4"/>
      <c r="S33" s="4"/>
    </row>
    <row r="34" spans="13:19" x14ac:dyDescent="0.35">
      <c r="M34" s="4"/>
      <c r="N34" s="4"/>
      <c r="O34" s="4"/>
      <c r="P34" s="4"/>
      <c r="Q34" s="4"/>
      <c r="R34" s="4"/>
      <c r="S34" s="4"/>
    </row>
    <row r="35" spans="13:19" x14ac:dyDescent="0.35">
      <c r="M35" s="4"/>
      <c r="N35" s="4"/>
      <c r="O35" s="4"/>
      <c r="P35" s="4"/>
      <c r="Q35" s="4"/>
      <c r="R35" s="4"/>
      <c r="S35" s="4"/>
    </row>
    <row r="36" spans="13:19" x14ac:dyDescent="0.35">
      <c r="M36" s="4"/>
      <c r="N36" s="4"/>
      <c r="O36" s="4"/>
      <c r="P36" s="4"/>
      <c r="Q36" s="4"/>
      <c r="R36" s="4"/>
      <c r="S36" s="4"/>
    </row>
    <row r="37" spans="13:19" x14ac:dyDescent="0.35">
      <c r="M37" s="4"/>
      <c r="N37" s="4"/>
      <c r="O37" s="4"/>
      <c r="P37" s="4"/>
      <c r="Q37" s="4"/>
      <c r="R37" s="4"/>
      <c r="S37" s="4"/>
    </row>
    <row r="38" spans="13:19" x14ac:dyDescent="0.35">
      <c r="M38" s="4"/>
      <c r="N38" s="4"/>
      <c r="O38" s="4"/>
      <c r="P38" s="4"/>
      <c r="Q38" s="4"/>
      <c r="R38" s="4"/>
      <c r="S38" s="4"/>
    </row>
    <row r="39" spans="13:19" x14ac:dyDescent="0.35">
      <c r="M39" s="4"/>
      <c r="N39" s="4"/>
      <c r="O39" s="4"/>
      <c r="P39" s="4"/>
      <c r="Q39" s="4"/>
      <c r="R39" s="4"/>
      <c r="S39" s="4"/>
    </row>
    <row r="40" spans="13:19" x14ac:dyDescent="0.35">
      <c r="M40" s="4"/>
      <c r="N40" s="4"/>
      <c r="O40" s="4"/>
      <c r="P40" s="4"/>
      <c r="Q40" s="4"/>
      <c r="R40" s="4"/>
      <c r="S40" s="4"/>
    </row>
    <row r="41" spans="13:19" x14ac:dyDescent="0.35">
      <c r="M41" s="4"/>
      <c r="N41" s="4"/>
      <c r="O41" s="4"/>
      <c r="P41" s="4"/>
      <c r="Q41" s="4"/>
      <c r="R41" s="4"/>
      <c r="S41" s="4"/>
    </row>
    <row r="42" spans="13:19" x14ac:dyDescent="0.35">
      <c r="M42" s="4"/>
      <c r="N42" s="4"/>
      <c r="O42" s="4"/>
      <c r="P42" s="4"/>
      <c r="Q42" s="4"/>
      <c r="R42" s="4"/>
      <c r="S42" s="4"/>
    </row>
    <row r="43" spans="13:19" x14ac:dyDescent="0.35">
      <c r="M43" s="4"/>
      <c r="N43" s="4"/>
      <c r="O43" s="4"/>
      <c r="P43" s="4"/>
      <c r="Q43" s="4"/>
      <c r="R43" s="4"/>
      <c r="S43" s="4"/>
    </row>
    <row r="44" spans="13:19" x14ac:dyDescent="0.35">
      <c r="M44" s="4"/>
      <c r="N44" s="4"/>
      <c r="O44" s="4"/>
      <c r="P44" s="4"/>
      <c r="Q44" s="4"/>
      <c r="R44" s="4"/>
      <c r="S44" s="4"/>
    </row>
  </sheetData>
  <sheetProtection formatCells="0" formatColumns="0" formatRows="0" insertRows="0" autoFilter="0"/>
  <autoFilter ref="A10:E10" xr:uid="{00000000-0009-0000-0000-000002000000}"/>
  <mergeCells count="4">
    <mergeCell ref="A2:L2"/>
    <mergeCell ref="E4:J4"/>
    <mergeCell ref="F8:L8"/>
    <mergeCell ref="E20:E21"/>
  </mergeCells>
  <conditionalFormatting sqref="F20:L20">
    <cfRule type="cellIs" dxfId="5" priority="1" stopIfTrue="1" operator="lessThan">
      <formula>F21</formula>
    </cfRule>
    <cfRule type="cellIs" dxfId="4" priority="2" stopIfTrue="1" operator="greaterThan">
      <formula>F21</formula>
    </cfRule>
  </conditionalFormatting>
  <pageMargins left="0.75" right="0.75" top="1" bottom="1" header="0.5" footer="0.5"/>
  <headerFooter alignWithMargins="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5DF8F-6731-4618-89CF-153FE6BA4B4C}">
  <dimension ref="A2:S44"/>
  <sheetViews>
    <sheetView workbookViewId="0">
      <selection activeCell="E5" sqref="E5"/>
    </sheetView>
  </sheetViews>
  <sheetFormatPr defaultColWidth="11.46484375" defaultRowHeight="12.75" x14ac:dyDescent="0.35"/>
  <cols>
    <col min="1" max="2" width="6.86328125" style="5" customWidth="1"/>
    <col min="3" max="3" width="33.86328125" style="6" customWidth="1"/>
    <col min="4" max="4" width="21.1328125" style="6" customWidth="1"/>
    <col min="5" max="5" width="10.46484375" style="4" customWidth="1"/>
    <col min="6" max="12" width="11.46484375" style="4" customWidth="1"/>
    <col min="13" max="16384" width="11.46484375" style="5"/>
  </cols>
  <sheetData>
    <row r="2" spans="1:12" customFormat="1" ht="43.5" customHeight="1" x14ac:dyDescent="0.35">
      <c r="A2" s="90" t="str">
        <f>CONCATENATE("Sprint #",E5, "Tracking Sheet")</f>
        <v>Sprint #6Tracking Sheet</v>
      </c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</row>
    <row r="4" spans="1:12" customFormat="1" ht="13.15" x14ac:dyDescent="0.4">
      <c r="A4" s="2"/>
      <c r="B4" s="5"/>
      <c r="C4" s="35" t="s">
        <v>12</v>
      </c>
      <c r="D4" s="49"/>
      <c r="E4" s="91" t="s">
        <v>103</v>
      </c>
      <c r="F4" s="92"/>
      <c r="G4" s="92"/>
      <c r="H4" s="92"/>
      <c r="I4" s="92"/>
      <c r="J4" s="93"/>
    </row>
    <row r="5" spans="1:12" ht="13.15" x14ac:dyDescent="0.35">
      <c r="C5" s="11" t="s">
        <v>20</v>
      </c>
      <c r="D5" s="11"/>
      <c r="E5" s="22">
        <v>6</v>
      </c>
    </row>
    <row r="6" spans="1:12" ht="13.15" x14ac:dyDescent="0.35">
      <c r="C6" s="11" t="s">
        <v>21</v>
      </c>
      <c r="D6" s="11"/>
      <c r="E6" s="23">
        <v>45790</v>
      </c>
    </row>
    <row r="7" spans="1:12" ht="13.5" thickBot="1" x14ac:dyDescent="0.4">
      <c r="C7" s="3"/>
      <c r="D7" s="11" t="s">
        <v>31</v>
      </c>
      <c r="E7" s="22">
        <v>3</v>
      </c>
    </row>
    <row r="8" spans="1:12" ht="13.5" thickBot="1" x14ac:dyDescent="0.4">
      <c r="F8" s="94" t="s">
        <v>22</v>
      </c>
      <c r="G8" s="95"/>
      <c r="H8" s="95"/>
      <c r="I8" s="95"/>
      <c r="J8" s="95"/>
      <c r="K8" s="95"/>
      <c r="L8" s="96"/>
    </row>
    <row r="9" spans="1:12" ht="12.75" customHeight="1" thickBot="1" x14ac:dyDescent="0.4">
      <c r="F9" s="55">
        <v>1</v>
      </c>
      <c r="G9" s="56">
        <v>2</v>
      </c>
      <c r="H9" s="55">
        <v>3</v>
      </c>
      <c r="I9" s="56">
        <v>4</v>
      </c>
      <c r="J9" s="55">
        <v>5</v>
      </c>
      <c r="K9" s="56">
        <v>6</v>
      </c>
      <c r="L9" s="55">
        <v>7</v>
      </c>
    </row>
    <row r="10" spans="1:12" s="3" customFormat="1" ht="27" customHeight="1" x14ac:dyDescent="0.35">
      <c r="A10" s="17" t="s">
        <v>23</v>
      </c>
      <c r="B10" s="19" t="s">
        <v>16</v>
      </c>
      <c r="C10" s="18" t="s">
        <v>24</v>
      </c>
      <c r="D10" s="50" t="s">
        <v>29</v>
      </c>
      <c r="E10" s="20" t="s">
        <v>25</v>
      </c>
      <c r="F10" s="28">
        <f>E6</f>
        <v>45790</v>
      </c>
      <c r="G10" s="21">
        <f>F10+1</f>
        <v>45791</v>
      </c>
      <c r="H10" s="21">
        <f t="shared" ref="H10:L10" si="0">G10+1</f>
        <v>45792</v>
      </c>
      <c r="I10" s="21">
        <f t="shared" si="0"/>
        <v>45793</v>
      </c>
      <c r="J10" s="21">
        <f t="shared" si="0"/>
        <v>45794</v>
      </c>
      <c r="K10" s="21">
        <f t="shared" si="0"/>
        <v>45795</v>
      </c>
      <c r="L10" s="21">
        <f t="shared" si="0"/>
        <v>45796</v>
      </c>
    </row>
    <row r="11" spans="1:12" s="34" customFormat="1" ht="13.15" x14ac:dyDescent="0.35">
      <c r="A11" s="30"/>
      <c r="B11" s="31"/>
      <c r="C11" s="32"/>
      <c r="D11" s="51"/>
      <c r="E11" s="29"/>
      <c r="F11" s="33"/>
      <c r="G11" s="33"/>
      <c r="H11" s="33"/>
      <c r="I11" s="33"/>
      <c r="J11" s="31"/>
      <c r="K11" s="31"/>
      <c r="L11" s="31"/>
    </row>
    <row r="12" spans="1:12" s="34" customFormat="1" ht="13.15" x14ac:dyDescent="0.35">
      <c r="A12" s="30"/>
      <c r="B12" s="31"/>
      <c r="C12" s="32"/>
      <c r="D12" s="51"/>
      <c r="E12" s="29"/>
      <c r="F12" s="33"/>
      <c r="G12" s="33"/>
      <c r="H12" s="33"/>
      <c r="I12" s="33"/>
      <c r="J12" s="31"/>
      <c r="K12" s="31"/>
      <c r="L12" s="31"/>
    </row>
    <row r="13" spans="1:12" s="34" customFormat="1" ht="13.15" x14ac:dyDescent="0.35">
      <c r="A13" s="30"/>
      <c r="B13" s="48"/>
      <c r="C13" s="32"/>
      <c r="D13" s="51"/>
      <c r="E13" s="29"/>
      <c r="F13" s="33"/>
      <c r="G13" s="31"/>
      <c r="H13" s="31"/>
      <c r="I13" s="31"/>
      <c r="J13" s="31"/>
      <c r="K13" s="31"/>
      <c r="L13" s="31"/>
    </row>
    <row r="14" spans="1:12" s="34" customFormat="1" ht="13.15" x14ac:dyDescent="0.35">
      <c r="A14" s="30"/>
      <c r="B14" s="48"/>
      <c r="C14" s="32"/>
      <c r="D14" s="51"/>
      <c r="E14" s="29"/>
      <c r="F14" s="33"/>
      <c r="G14" s="31"/>
      <c r="H14" s="31"/>
      <c r="I14" s="31"/>
      <c r="J14" s="31"/>
      <c r="K14" s="31"/>
      <c r="L14" s="31"/>
    </row>
    <row r="15" spans="1:12" s="34" customFormat="1" ht="13.15" x14ac:dyDescent="0.35">
      <c r="A15" s="30"/>
      <c r="B15" s="48"/>
      <c r="C15" s="32"/>
      <c r="D15" s="51"/>
      <c r="E15" s="29"/>
      <c r="F15" s="33"/>
      <c r="G15" s="31"/>
      <c r="H15" s="31"/>
      <c r="I15" s="31"/>
      <c r="J15" s="31"/>
      <c r="K15" s="31"/>
      <c r="L15" s="31"/>
    </row>
    <row r="16" spans="1:12" s="34" customFormat="1" ht="13.15" x14ac:dyDescent="0.35">
      <c r="A16" s="30"/>
      <c r="B16" s="48"/>
      <c r="C16" s="32"/>
      <c r="D16" s="51"/>
      <c r="E16" s="29"/>
      <c r="F16" s="33"/>
      <c r="G16" s="31"/>
      <c r="H16" s="31"/>
      <c r="I16" s="31"/>
      <c r="J16" s="31"/>
      <c r="K16" s="31"/>
      <c r="L16" s="31"/>
    </row>
    <row r="17" spans="1:19" s="8" customFormat="1" ht="13.15" x14ac:dyDescent="0.35">
      <c r="A17" s="30"/>
      <c r="B17" s="48"/>
      <c r="C17" s="24"/>
      <c r="D17" s="52"/>
      <c r="E17" s="29"/>
      <c r="F17" s="33"/>
      <c r="G17" s="25"/>
      <c r="H17" s="25"/>
      <c r="I17" s="25"/>
      <c r="J17" s="25"/>
      <c r="K17" s="25"/>
      <c r="L17" s="25"/>
    </row>
    <row r="18" spans="1:19" s="8" customFormat="1" ht="13.5" thickBot="1" x14ac:dyDescent="0.4">
      <c r="A18" s="57"/>
      <c r="B18" s="58"/>
      <c r="C18" s="26"/>
      <c r="D18" s="26"/>
      <c r="E18" s="59"/>
      <c r="F18" s="57"/>
      <c r="G18" s="27"/>
      <c r="H18" s="27"/>
      <c r="I18" s="27"/>
      <c r="J18" s="27"/>
      <c r="K18" s="27"/>
      <c r="L18" s="27"/>
    </row>
    <row r="20" spans="1:19" ht="13.15" x14ac:dyDescent="0.35">
      <c r="C20" s="12" t="s">
        <v>26</v>
      </c>
      <c r="D20" s="53"/>
      <c r="E20" s="97">
        <f>10*E7</f>
        <v>30</v>
      </c>
      <c r="F20" s="9" t="e">
        <f>IF(SUM(F11:F18)&gt;0,E20-SUM(F11:F18),NA())</f>
        <v>#N/A</v>
      </c>
      <c r="G20" s="9" t="e">
        <f>IF(SUM(G11:G18)&gt;0,E20-SUM(F11:G18),NA())</f>
        <v>#N/A</v>
      </c>
      <c r="H20" s="9" t="e">
        <f>IF(SUM(H11:H18)&gt;0,F20-SUM(G11:H18),NA())</f>
        <v>#N/A</v>
      </c>
      <c r="I20" s="9" t="e">
        <f>IF(SUM(I11:I18)&gt;0,E20-SUM(F11:I18),NA())</f>
        <v>#N/A</v>
      </c>
      <c r="J20" s="9" t="e">
        <f>IF(SUM(J11:J18)&gt;0,E20-SUM(F11:J18),NA())</f>
        <v>#N/A</v>
      </c>
      <c r="K20" s="9" t="e">
        <f>IF(SUM(K11:K18)&gt;0,E20-SUM(F11:K18),NA())</f>
        <v>#N/A</v>
      </c>
      <c r="L20" s="9" t="e">
        <f>IF(SUM(L11:L18)&gt;0,E20-SUM(F11:L18),NA())</f>
        <v>#N/A</v>
      </c>
    </row>
    <row r="21" spans="1:19" ht="13.15" x14ac:dyDescent="0.35">
      <c r="C21" s="12" t="s">
        <v>27</v>
      </c>
      <c r="D21" s="54"/>
      <c r="E21" s="98"/>
      <c r="F21" s="10" t="e">
        <f>$E$20-(F20/7)</f>
        <v>#N/A</v>
      </c>
      <c r="G21" s="10" t="e">
        <f>F21-($E$20/7)</f>
        <v>#N/A</v>
      </c>
      <c r="H21" s="10" t="e">
        <f t="shared" ref="H21:L21" si="1">G21-($E$20/7)</f>
        <v>#N/A</v>
      </c>
      <c r="I21" s="10" t="e">
        <f t="shared" si="1"/>
        <v>#N/A</v>
      </c>
      <c r="J21" s="10" t="e">
        <f t="shared" si="1"/>
        <v>#N/A</v>
      </c>
      <c r="K21" s="10" t="e">
        <f t="shared" si="1"/>
        <v>#N/A</v>
      </c>
      <c r="L21" s="10" t="e">
        <f t="shared" si="1"/>
        <v>#N/A</v>
      </c>
    </row>
    <row r="22" spans="1:19" x14ac:dyDescent="0.35">
      <c r="M22" s="4"/>
      <c r="N22" s="4"/>
      <c r="O22" s="4"/>
      <c r="P22" s="4"/>
      <c r="Q22" s="4"/>
      <c r="R22" s="4"/>
      <c r="S22" s="4"/>
    </row>
    <row r="23" spans="1:19" x14ac:dyDescent="0.35">
      <c r="M23" s="4"/>
      <c r="N23" s="4"/>
      <c r="O23" s="4"/>
      <c r="P23" s="4"/>
      <c r="Q23" s="4"/>
      <c r="R23" s="4"/>
      <c r="S23" s="4"/>
    </row>
    <row r="24" spans="1:19" x14ac:dyDescent="0.35">
      <c r="M24" s="4"/>
      <c r="N24" s="4"/>
      <c r="O24" s="4"/>
      <c r="P24" s="4"/>
      <c r="Q24" s="4"/>
      <c r="R24" s="4"/>
      <c r="S24" s="4"/>
    </row>
    <row r="25" spans="1:19" x14ac:dyDescent="0.35">
      <c r="M25" s="4"/>
      <c r="N25" s="4"/>
      <c r="O25" s="4"/>
      <c r="P25" s="4"/>
      <c r="Q25" s="4"/>
      <c r="R25" s="4"/>
      <c r="S25" s="4"/>
    </row>
    <row r="26" spans="1:19" x14ac:dyDescent="0.35">
      <c r="K26" s="7">
        <v>0</v>
      </c>
      <c r="L26" s="4">
        <f>SUM(E11:E19)</f>
        <v>0</v>
      </c>
      <c r="M26" s="4"/>
      <c r="N26" s="4"/>
      <c r="O26" s="4"/>
      <c r="P26" s="4"/>
      <c r="Q26" s="4"/>
      <c r="R26" s="7">
        <v>0</v>
      </c>
      <c r="S26" s="4">
        <f>SUM(L11:L19)</f>
        <v>0</v>
      </c>
    </row>
    <row r="27" spans="1:19" x14ac:dyDescent="0.35">
      <c r="K27" s="7">
        <v>10</v>
      </c>
      <c r="L27" s="7">
        <v>0</v>
      </c>
      <c r="M27" s="4"/>
      <c r="N27" s="4"/>
      <c r="O27" s="4"/>
      <c r="P27" s="4"/>
      <c r="Q27" s="4"/>
      <c r="R27" s="7">
        <v>10</v>
      </c>
      <c r="S27" s="7">
        <v>0</v>
      </c>
    </row>
    <row r="28" spans="1:19" x14ac:dyDescent="0.35">
      <c r="M28" s="4"/>
      <c r="N28" s="4"/>
      <c r="O28" s="4"/>
      <c r="P28" s="4"/>
      <c r="Q28" s="4"/>
      <c r="R28" s="4"/>
      <c r="S28" s="4"/>
    </row>
    <row r="29" spans="1:19" x14ac:dyDescent="0.35">
      <c r="M29" s="4"/>
      <c r="N29" s="4"/>
      <c r="O29" s="4"/>
      <c r="P29" s="4"/>
      <c r="Q29" s="4"/>
      <c r="R29" s="4"/>
      <c r="S29" s="4"/>
    </row>
    <row r="30" spans="1:19" x14ac:dyDescent="0.35">
      <c r="M30" s="4"/>
      <c r="N30" s="4"/>
      <c r="O30" s="4"/>
      <c r="P30" s="4"/>
      <c r="Q30" s="4"/>
      <c r="R30" s="4"/>
      <c r="S30" s="4"/>
    </row>
    <row r="31" spans="1:19" x14ac:dyDescent="0.35">
      <c r="M31" s="4"/>
      <c r="N31" s="4"/>
      <c r="O31" s="4"/>
      <c r="P31" s="4"/>
      <c r="Q31" s="4"/>
      <c r="R31" s="4"/>
      <c r="S31" s="4"/>
    </row>
    <row r="32" spans="1:19" x14ac:dyDescent="0.35">
      <c r="M32" s="4"/>
      <c r="N32" s="4"/>
      <c r="O32" s="4"/>
      <c r="P32" s="4"/>
      <c r="Q32" s="4"/>
      <c r="R32" s="4"/>
      <c r="S32" s="4"/>
    </row>
    <row r="33" spans="13:19" x14ac:dyDescent="0.35">
      <c r="M33" s="4"/>
      <c r="N33" s="4"/>
      <c r="O33" s="4"/>
      <c r="P33" s="4"/>
      <c r="Q33" s="4"/>
      <c r="R33" s="4"/>
      <c r="S33" s="4"/>
    </row>
    <row r="34" spans="13:19" x14ac:dyDescent="0.35">
      <c r="M34" s="4"/>
      <c r="N34" s="4"/>
      <c r="O34" s="4"/>
      <c r="P34" s="4"/>
      <c r="Q34" s="4"/>
      <c r="R34" s="4"/>
      <c r="S34" s="4"/>
    </row>
    <row r="35" spans="13:19" x14ac:dyDescent="0.35">
      <c r="M35" s="4"/>
      <c r="N35" s="4"/>
      <c r="O35" s="4"/>
      <c r="P35" s="4"/>
      <c r="Q35" s="4"/>
      <c r="R35" s="4"/>
      <c r="S35" s="4"/>
    </row>
    <row r="36" spans="13:19" x14ac:dyDescent="0.35">
      <c r="M36" s="4"/>
      <c r="N36" s="4"/>
      <c r="O36" s="4"/>
      <c r="P36" s="4"/>
      <c r="Q36" s="4"/>
      <c r="R36" s="4"/>
      <c r="S36" s="4"/>
    </row>
    <row r="37" spans="13:19" x14ac:dyDescent="0.35">
      <c r="M37" s="4"/>
      <c r="N37" s="4"/>
      <c r="O37" s="4"/>
      <c r="P37" s="4"/>
      <c r="Q37" s="4"/>
      <c r="R37" s="4"/>
      <c r="S37" s="4"/>
    </row>
    <row r="38" spans="13:19" x14ac:dyDescent="0.35">
      <c r="M38" s="4"/>
      <c r="N38" s="4"/>
      <c r="O38" s="4"/>
      <c r="P38" s="4"/>
      <c r="Q38" s="4"/>
      <c r="R38" s="4"/>
      <c r="S38" s="4"/>
    </row>
    <row r="39" spans="13:19" x14ac:dyDescent="0.35">
      <c r="M39" s="4"/>
      <c r="N39" s="4"/>
      <c r="O39" s="4"/>
      <c r="P39" s="4"/>
      <c r="Q39" s="4"/>
      <c r="R39" s="4"/>
      <c r="S39" s="4"/>
    </row>
    <row r="40" spans="13:19" x14ac:dyDescent="0.35">
      <c r="M40" s="4"/>
      <c r="N40" s="4"/>
      <c r="O40" s="4"/>
      <c r="P40" s="4"/>
      <c r="Q40" s="4"/>
      <c r="R40" s="4"/>
      <c r="S40" s="4"/>
    </row>
    <row r="41" spans="13:19" x14ac:dyDescent="0.35">
      <c r="M41" s="4"/>
      <c r="N41" s="4"/>
      <c r="O41" s="4"/>
      <c r="P41" s="4"/>
      <c r="Q41" s="4"/>
      <c r="R41" s="4"/>
      <c r="S41" s="4"/>
    </row>
    <row r="42" spans="13:19" x14ac:dyDescent="0.35">
      <c r="M42" s="4"/>
      <c r="N42" s="4"/>
      <c r="O42" s="4"/>
      <c r="P42" s="4"/>
      <c r="Q42" s="4"/>
      <c r="R42" s="4"/>
      <c r="S42" s="4"/>
    </row>
    <row r="43" spans="13:19" x14ac:dyDescent="0.35">
      <c r="M43" s="4"/>
      <c r="N43" s="4"/>
      <c r="O43" s="4"/>
      <c r="P43" s="4"/>
      <c r="Q43" s="4"/>
      <c r="R43" s="4"/>
      <c r="S43" s="4"/>
    </row>
    <row r="44" spans="13:19" x14ac:dyDescent="0.35">
      <c r="M44" s="4"/>
      <c r="N44" s="4"/>
      <c r="O44" s="4"/>
      <c r="P44" s="4"/>
      <c r="Q44" s="4"/>
      <c r="R44" s="4"/>
      <c r="S44" s="4"/>
    </row>
  </sheetData>
  <sheetProtection formatCells="0" formatColumns="0" formatRows="0" insertRows="0" autoFilter="0"/>
  <autoFilter ref="A10:E10" xr:uid="{00000000-0009-0000-0000-000002000000}"/>
  <mergeCells count="4">
    <mergeCell ref="A2:L2"/>
    <mergeCell ref="E4:J4"/>
    <mergeCell ref="F8:L8"/>
    <mergeCell ref="E20:E21"/>
  </mergeCells>
  <conditionalFormatting sqref="F20:L20">
    <cfRule type="cellIs" dxfId="3" priority="1" stopIfTrue="1" operator="lessThan">
      <formula>F21</formula>
    </cfRule>
    <cfRule type="cellIs" dxfId="2" priority="2" stopIfTrue="1" operator="greaterThan">
      <formula>F21</formula>
    </cfRule>
  </conditionalFormatting>
  <pageMargins left="0.75" right="0.75" top="1" bottom="1" header="0.5" footer="0.5"/>
  <headerFooter alignWithMargins="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D723E-CD8B-4705-9A6A-5B2DFF874A45}">
  <dimension ref="A2:S44"/>
  <sheetViews>
    <sheetView workbookViewId="0">
      <selection activeCell="E5" sqref="E5"/>
    </sheetView>
  </sheetViews>
  <sheetFormatPr defaultColWidth="11.46484375" defaultRowHeight="12.75" x14ac:dyDescent="0.35"/>
  <cols>
    <col min="1" max="2" width="6.86328125" style="5" customWidth="1"/>
    <col min="3" max="3" width="33.86328125" style="6" customWidth="1"/>
    <col min="4" max="4" width="21.1328125" style="6" customWidth="1"/>
    <col min="5" max="5" width="10.46484375" style="4" customWidth="1"/>
    <col min="6" max="12" width="11.46484375" style="4" customWidth="1"/>
    <col min="13" max="16384" width="11.46484375" style="5"/>
  </cols>
  <sheetData>
    <row r="2" spans="1:12" customFormat="1" ht="43.5" customHeight="1" x14ac:dyDescent="0.35">
      <c r="A2" s="90" t="str">
        <f>CONCATENATE("Sprint #",E5, "Tracking Sheet")</f>
        <v>Sprint #7Tracking Sheet</v>
      </c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</row>
    <row r="4" spans="1:12" customFormat="1" ht="13.15" x14ac:dyDescent="0.4">
      <c r="A4" s="2"/>
      <c r="B4" s="5"/>
      <c r="C4" s="35" t="s">
        <v>12</v>
      </c>
      <c r="D4" s="49"/>
      <c r="E4" s="91" t="s">
        <v>103</v>
      </c>
      <c r="F4" s="92"/>
      <c r="G4" s="92"/>
      <c r="H4" s="92"/>
      <c r="I4" s="92"/>
      <c r="J4" s="93"/>
    </row>
    <row r="5" spans="1:12" ht="13.15" x14ac:dyDescent="0.35">
      <c r="C5" s="11" t="s">
        <v>20</v>
      </c>
      <c r="D5" s="11"/>
      <c r="E5" s="22">
        <v>7</v>
      </c>
    </row>
    <row r="6" spans="1:12" ht="13.15" x14ac:dyDescent="0.35">
      <c r="C6" s="11" t="s">
        <v>21</v>
      </c>
      <c r="D6" s="11"/>
      <c r="E6" s="23"/>
    </row>
    <row r="7" spans="1:12" ht="13.5" thickBot="1" x14ac:dyDescent="0.4">
      <c r="C7" s="3"/>
      <c r="D7" s="11" t="s">
        <v>31</v>
      </c>
      <c r="E7" s="22">
        <v>3</v>
      </c>
    </row>
    <row r="8" spans="1:12" ht="13.5" thickBot="1" x14ac:dyDescent="0.4">
      <c r="F8" s="94" t="s">
        <v>22</v>
      </c>
      <c r="G8" s="95"/>
      <c r="H8" s="95"/>
      <c r="I8" s="95"/>
      <c r="J8" s="95"/>
      <c r="K8" s="95"/>
      <c r="L8" s="96"/>
    </row>
    <row r="9" spans="1:12" ht="12.75" customHeight="1" thickBot="1" x14ac:dyDescent="0.4">
      <c r="F9" s="55">
        <v>1</v>
      </c>
      <c r="G9" s="56">
        <v>2</v>
      </c>
      <c r="H9" s="55">
        <v>3</v>
      </c>
      <c r="I9" s="56">
        <v>4</v>
      </c>
      <c r="J9" s="55">
        <v>5</v>
      </c>
      <c r="K9" s="56">
        <v>6</v>
      </c>
      <c r="L9" s="55">
        <v>7</v>
      </c>
    </row>
    <row r="10" spans="1:12" s="3" customFormat="1" ht="27" customHeight="1" x14ac:dyDescent="0.35">
      <c r="A10" s="17" t="s">
        <v>23</v>
      </c>
      <c r="B10" s="19" t="s">
        <v>16</v>
      </c>
      <c r="C10" s="18" t="s">
        <v>24</v>
      </c>
      <c r="D10" s="50" t="s">
        <v>29</v>
      </c>
      <c r="E10" s="20" t="s">
        <v>25</v>
      </c>
      <c r="F10" s="28">
        <f>E6</f>
        <v>0</v>
      </c>
      <c r="G10" s="21">
        <f>F10+1</f>
        <v>1</v>
      </c>
      <c r="H10" s="21">
        <f t="shared" ref="H10:L10" si="0">G10+1</f>
        <v>2</v>
      </c>
      <c r="I10" s="21">
        <f t="shared" si="0"/>
        <v>3</v>
      </c>
      <c r="J10" s="21">
        <f t="shared" si="0"/>
        <v>4</v>
      </c>
      <c r="K10" s="21">
        <f t="shared" si="0"/>
        <v>5</v>
      </c>
      <c r="L10" s="21">
        <f t="shared" si="0"/>
        <v>6</v>
      </c>
    </row>
    <row r="11" spans="1:12" s="34" customFormat="1" ht="13.15" x14ac:dyDescent="0.35">
      <c r="A11" s="30"/>
      <c r="B11" s="31"/>
      <c r="C11" s="32"/>
      <c r="D11" s="51"/>
      <c r="E11" s="29"/>
      <c r="F11" s="33"/>
      <c r="G11" s="33"/>
      <c r="H11" s="33"/>
      <c r="I11" s="33"/>
      <c r="J11" s="31"/>
      <c r="K11" s="31"/>
      <c r="L11" s="31"/>
    </row>
    <row r="12" spans="1:12" s="34" customFormat="1" ht="13.15" x14ac:dyDescent="0.35">
      <c r="A12" s="30"/>
      <c r="B12" s="31"/>
      <c r="C12" s="32"/>
      <c r="D12" s="51"/>
      <c r="E12" s="29"/>
      <c r="F12" s="33"/>
      <c r="G12" s="33"/>
      <c r="H12" s="33"/>
      <c r="I12" s="33"/>
      <c r="J12" s="31"/>
      <c r="K12" s="31"/>
      <c r="L12" s="31"/>
    </row>
    <row r="13" spans="1:12" s="34" customFormat="1" ht="13.15" x14ac:dyDescent="0.35">
      <c r="A13" s="30"/>
      <c r="B13" s="48"/>
      <c r="C13" s="32"/>
      <c r="D13" s="51"/>
      <c r="E13" s="29"/>
      <c r="F13" s="33"/>
      <c r="G13" s="31"/>
      <c r="H13" s="31"/>
      <c r="I13" s="31"/>
      <c r="J13" s="31"/>
      <c r="K13" s="31"/>
      <c r="L13" s="31"/>
    </row>
    <row r="14" spans="1:12" s="34" customFormat="1" ht="13.15" x14ac:dyDescent="0.35">
      <c r="A14" s="30"/>
      <c r="B14" s="48"/>
      <c r="C14" s="32"/>
      <c r="D14" s="51"/>
      <c r="E14" s="29"/>
      <c r="F14" s="33"/>
      <c r="G14" s="31"/>
      <c r="H14" s="31"/>
      <c r="I14" s="31"/>
      <c r="J14" s="31"/>
      <c r="K14" s="31"/>
      <c r="L14" s="31"/>
    </row>
    <row r="15" spans="1:12" s="34" customFormat="1" ht="13.15" x14ac:dyDescent="0.35">
      <c r="A15" s="30"/>
      <c r="B15" s="48"/>
      <c r="C15" s="32"/>
      <c r="D15" s="51"/>
      <c r="E15" s="29"/>
      <c r="F15" s="33"/>
      <c r="G15" s="31"/>
      <c r="H15" s="31"/>
      <c r="I15" s="31"/>
      <c r="J15" s="31"/>
      <c r="K15" s="31"/>
      <c r="L15" s="31"/>
    </row>
    <row r="16" spans="1:12" s="34" customFormat="1" ht="13.15" x14ac:dyDescent="0.35">
      <c r="A16" s="30"/>
      <c r="B16" s="48"/>
      <c r="C16" s="32"/>
      <c r="D16" s="51"/>
      <c r="E16" s="29"/>
      <c r="F16" s="33"/>
      <c r="G16" s="31"/>
      <c r="H16" s="31"/>
      <c r="I16" s="31"/>
      <c r="J16" s="31"/>
      <c r="K16" s="31"/>
      <c r="L16" s="31"/>
    </row>
    <row r="17" spans="1:19" s="8" customFormat="1" ht="13.15" x14ac:dyDescent="0.35">
      <c r="A17" s="30"/>
      <c r="B17" s="48"/>
      <c r="C17" s="24"/>
      <c r="D17" s="52"/>
      <c r="E17" s="29"/>
      <c r="F17" s="33"/>
      <c r="G17" s="25"/>
      <c r="H17" s="25"/>
      <c r="I17" s="25"/>
      <c r="J17" s="25"/>
      <c r="K17" s="25"/>
      <c r="L17" s="25"/>
    </row>
    <row r="18" spans="1:19" s="8" customFormat="1" ht="13.5" thickBot="1" x14ac:dyDescent="0.4">
      <c r="A18" s="57"/>
      <c r="B18" s="58"/>
      <c r="C18" s="26"/>
      <c r="D18" s="26"/>
      <c r="E18" s="59"/>
      <c r="F18" s="57"/>
      <c r="G18" s="27"/>
      <c r="H18" s="27"/>
      <c r="I18" s="27"/>
      <c r="J18" s="27"/>
      <c r="K18" s="27"/>
      <c r="L18" s="27"/>
    </row>
    <row r="20" spans="1:19" ht="13.15" x14ac:dyDescent="0.35">
      <c r="C20" s="12" t="s">
        <v>26</v>
      </c>
      <c r="D20" s="53"/>
      <c r="E20" s="97">
        <f>10*E7</f>
        <v>30</v>
      </c>
      <c r="F20" s="9" t="e">
        <f>IF(SUM(F11:F18)&gt;0,E20-SUM(F11:F18),NA())</f>
        <v>#N/A</v>
      </c>
      <c r="G20" s="9" t="e">
        <f>IF(SUM(G11:G18)&gt;0,E20-SUM(F11:G18),NA())</f>
        <v>#N/A</v>
      </c>
      <c r="H20" s="9" t="e">
        <f>IF(SUM(H11:H18)&gt;0,F20-SUM(G11:H18),NA())</f>
        <v>#N/A</v>
      </c>
      <c r="I20" s="9" t="e">
        <f>IF(SUM(I11:I18)&gt;0,E20-SUM(F11:I18),NA())</f>
        <v>#N/A</v>
      </c>
      <c r="J20" s="9" t="e">
        <f>IF(SUM(J11:J18)&gt;0,E20-SUM(F11:J18),NA())</f>
        <v>#N/A</v>
      </c>
      <c r="K20" s="9" t="e">
        <f>IF(SUM(K11:K18)&gt;0,E20-SUM(F11:K18),NA())</f>
        <v>#N/A</v>
      </c>
      <c r="L20" s="9" t="e">
        <f>IF(SUM(L11:L18)&gt;0,E20-SUM(F11:L18),NA())</f>
        <v>#N/A</v>
      </c>
    </row>
    <row r="21" spans="1:19" ht="13.15" x14ac:dyDescent="0.35">
      <c r="C21" s="12" t="s">
        <v>27</v>
      </c>
      <c r="D21" s="54"/>
      <c r="E21" s="98"/>
      <c r="F21" s="10" t="e">
        <f>$E$20-(F20/7)</f>
        <v>#N/A</v>
      </c>
      <c r="G21" s="10" t="e">
        <f>F21-($E$20/7)</f>
        <v>#N/A</v>
      </c>
      <c r="H21" s="10" t="e">
        <f t="shared" ref="H21:L21" si="1">G21-($E$20/7)</f>
        <v>#N/A</v>
      </c>
      <c r="I21" s="10" t="e">
        <f t="shared" si="1"/>
        <v>#N/A</v>
      </c>
      <c r="J21" s="10" t="e">
        <f t="shared" si="1"/>
        <v>#N/A</v>
      </c>
      <c r="K21" s="10" t="e">
        <f t="shared" si="1"/>
        <v>#N/A</v>
      </c>
      <c r="L21" s="10" t="e">
        <f t="shared" si="1"/>
        <v>#N/A</v>
      </c>
    </row>
    <row r="22" spans="1:19" x14ac:dyDescent="0.35">
      <c r="M22" s="4"/>
      <c r="N22" s="4"/>
      <c r="O22" s="4"/>
      <c r="P22" s="4"/>
      <c r="Q22" s="4"/>
      <c r="R22" s="4"/>
      <c r="S22" s="4"/>
    </row>
    <row r="23" spans="1:19" x14ac:dyDescent="0.35">
      <c r="M23" s="4"/>
      <c r="N23" s="4"/>
      <c r="O23" s="4"/>
      <c r="P23" s="4"/>
      <c r="Q23" s="4"/>
      <c r="R23" s="4"/>
      <c r="S23" s="4"/>
    </row>
    <row r="24" spans="1:19" x14ac:dyDescent="0.35">
      <c r="M24" s="4"/>
      <c r="N24" s="4"/>
      <c r="O24" s="4"/>
      <c r="P24" s="4"/>
      <c r="Q24" s="4"/>
      <c r="R24" s="4"/>
      <c r="S24" s="4"/>
    </row>
    <row r="25" spans="1:19" x14ac:dyDescent="0.35">
      <c r="M25" s="4"/>
      <c r="N25" s="4"/>
      <c r="O25" s="4"/>
      <c r="P25" s="4"/>
      <c r="Q25" s="4"/>
      <c r="R25" s="4"/>
      <c r="S25" s="4"/>
    </row>
    <row r="26" spans="1:19" x14ac:dyDescent="0.35">
      <c r="K26" s="7">
        <v>0</v>
      </c>
      <c r="L26" s="4">
        <f>SUM(E11:E19)</f>
        <v>0</v>
      </c>
      <c r="M26" s="4"/>
      <c r="N26" s="4"/>
      <c r="O26" s="4"/>
      <c r="P26" s="4"/>
      <c r="Q26" s="4"/>
      <c r="R26" s="7">
        <v>0</v>
      </c>
      <c r="S26" s="4">
        <f>SUM(L11:L19)</f>
        <v>0</v>
      </c>
    </row>
    <row r="27" spans="1:19" x14ac:dyDescent="0.35">
      <c r="K27" s="7">
        <v>10</v>
      </c>
      <c r="L27" s="7">
        <v>0</v>
      </c>
      <c r="M27" s="4"/>
      <c r="N27" s="4"/>
      <c r="O27" s="4"/>
      <c r="P27" s="4"/>
      <c r="Q27" s="4"/>
      <c r="R27" s="7">
        <v>10</v>
      </c>
      <c r="S27" s="7">
        <v>0</v>
      </c>
    </row>
    <row r="28" spans="1:19" x14ac:dyDescent="0.35">
      <c r="M28" s="4"/>
      <c r="N28" s="4"/>
      <c r="O28" s="4"/>
      <c r="P28" s="4"/>
      <c r="Q28" s="4"/>
      <c r="R28" s="4"/>
      <c r="S28" s="4"/>
    </row>
    <row r="29" spans="1:19" x14ac:dyDescent="0.35">
      <c r="M29" s="4"/>
      <c r="N29" s="4"/>
      <c r="O29" s="4"/>
      <c r="P29" s="4"/>
      <c r="Q29" s="4"/>
      <c r="R29" s="4"/>
      <c r="S29" s="4"/>
    </row>
    <row r="30" spans="1:19" x14ac:dyDescent="0.35">
      <c r="M30" s="4"/>
      <c r="N30" s="4"/>
      <c r="O30" s="4"/>
      <c r="P30" s="4"/>
      <c r="Q30" s="4"/>
      <c r="R30" s="4"/>
      <c r="S30" s="4"/>
    </row>
    <row r="31" spans="1:19" x14ac:dyDescent="0.35">
      <c r="M31" s="4"/>
      <c r="N31" s="4"/>
      <c r="O31" s="4"/>
      <c r="P31" s="4"/>
      <c r="Q31" s="4"/>
      <c r="R31" s="4"/>
      <c r="S31" s="4"/>
    </row>
    <row r="32" spans="1:19" x14ac:dyDescent="0.35">
      <c r="M32" s="4"/>
      <c r="N32" s="4"/>
      <c r="O32" s="4"/>
      <c r="P32" s="4"/>
      <c r="Q32" s="4"/>
      <c r="R32" s="4"/>
      <c r="S32" s="4"/>
    </row>
    <row r="33" spans="13:19" x14ac:dyDescent="0.35">
      <c r="M33" s="4"/>
      <c r="N33" s="4"/>
      <c r="O33" s="4"/>
      <c r="P33" s="4"/>
      <c r="Q33" s="4"/>
      <c r="R33" s="4"/>
      <c r="S33" s="4"/>
    </row>
    <row r="34" spans="13:19" x14ac:dyDescent="0.35">
      <c r="M34" s="4"/>
      <c r="N34" s="4"/>
      <c r="O34" s="4"/>
      <c r="P34" s="4"/>
      <c r="Q34" s="4"/>
      <c r="R34" s="4"/>
      <c r="S34" s="4"/>
    </row>
    <row r="35" spans="13:19" x14ac:dyDescent="0.35">
      <c r="M35" s="4"/>
      <c r="N35" s="4"/>
      <c r="O35" s="4"/>
      <c r="P35" s="4"/>
      <c r="Q35" s="4"/>
      <c r="R35" s="4"/>
      <c r="S35" s="4"/>
    </row>
    <row r="36" spans="13:19" x14ac:dyDescent="0.35">
      <c r="M36" s="4"/>
      <c r="N36" s="4"/>
      <c r="O36" s="4"/>
      <c r="P36" s="4"/>
      <c r="Q36" s="4"/>
      <c r="R36" s="4"/>
      <c r="S36" s="4"/>
    </row>
    <row r="37" spans="13:19" x14ac:dyDescent="0.35">
      <c r="M37" s="4"/>
      <c r="N37" s="4"/>
      <c r="O37" s="4"/>
      <c r="P37" s="4"/>
      <c r="Q37" s="4"/>
      <c r="R37" s="4"/>
      <c r="S37" s="4"/>
    </row>
    <row r="38" spans="13:19" x14ac:dyDescent="0.35">
      <c r="M38" s="4"/>
      <c r="N38" s="4"/>
      <c r="O38" s="4"/>
      <c r="P38" s="4"/>
      <c r="Q38" s="4"/>
      <c r="R38" s="4"/>
      <c r="S38" s="4"/>
    </row>
    <row r="39" spans="13:19" x14ac:dyDescent="0.35">
      <c r="M39" s="4"/>
      <c r="N39" s="4"/>
      <c r="O39" s="4"/>
      <c r="P39" s="4"/>
      <c r="Q39" s="4"/>
      <c r="R39" s="4"/>
      <c r="S39" s="4"/>
    </row>
    <row r="40" spans="13:19" x14ac:dyDescent="0.35">
      <c r="M40" s="4"/>
      <c r="N40" s="4"/>
      <c r="O40" s="4"/>
      <c r="P40" s="4"/>
      <c r="Q40" s="4"/>
      <c r="R40" s="4"/>
      <c r="S40" s="4"/>
    </row>
    <row r="41" spans="13:19" x14ac:dyDescent="0.35">
      <c r="M41" s="4"/>
      <c r="N41" s="4"/>
      <c r="O41" s="4"/>
      <c r="P41" s="4"/>
      <c r="Q41" s="4"/>
      <c r="R41" s="4"/>
      <c r="S41" s="4"/>
    </row>
    <row r="42" spans="13:19" x14ac:dyDescent="0.35">
      <c r="M42" s="4"/>
      <c r="N42" s="4"/>
      <c r="O42" s="4"/>
      <c r="P42" s="4"/>
      <c r="Q42" s="4"/>
      <c r="R42" s="4"/>
      <c r="S42" s="4"/>
    </row>
    <row r="43" spans="13:19" x14ac:dyDescent="0.35">
      <c r="M43" s="4"/>
      <c r="N43" s="4"/>
      <c r="O43" s="4"/>
      <c r="P43" s="4"/>
      <c r="Q43" s="4"/>
      <c r="R43" s="4"/>
      <c r="S43" s="4"/>
    </row>
    <row r="44" spans="13:19" x14ac:dyDescent="0.35">
      <c r="M44" s="4"/>
      <c r="N44" s="4"/>
      <c r="O44" s="4"/>
      <c r="P44" s="4"/>
      <c r="Q44" s="4"/>
      <c r="R44" s="4"/>
      <c r="S44" s="4"/>
    </row>
  </sheetData>
  <sheetProtection formatCells="0" formatColumns="0" formatRows="0" insertRows="0" autoFilter="0"/>
  <autoFilter ref="A10:E10" xr:uid="{00000000-0009-0000-0000-000002000000}"/>
  <mergeCells count="4">
    <mergeCell ref="A2:L2"/>
    <mergeCell ref="E4:J4"/>
    <mergeCell ref="F8:L8"/>
    <mergeCell ref="E20:E21"/>
  </mergeCells>
  <conditionalFormatting sqref="F20:L20">
    <cfRule type="cellIs" dxfId="1" priority="1" stopIfTrue="1" operator="lessThan">
      <formula>F21</formula>
    </cfRule>
    <cfRule type="cellIs" dxfId="0" priority="2" stopIfTrue="1" operator="greaterThan">
      <formula>F21</formula>
    </cfRule>
  </conditionalFormatting>
  <pageMargins left="0.75" right="0.75" top="1" bottom="1" header="0.5" footer="0.5"/>
  <headerFooter alignWithMargins="0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CD5BF1D25B04C4DAFCC598A42891EA8" ma:contentTypeVersion="2" ma:contentTypeDescription="Create a new document." ma:contentTypeScope="" ma:versionID="45b73b173887e5427e1a7d1313c48df7">
  <xsd:schema xmlns:xsd="http://www.w3.org/2001/XMLSchema" xmlns:xs="http://www.w3.org/2001/XMLSchema" xmlns:p="http://schemas.microsoft.com/office/2006/metadata/properties" xmlns:ns2="2bbb67f6-bffc-474b-aafb-fa77ef9cf4e0" targetNamespace="http://schemas.microsoft.com/office/2006/metadata/properties" ma:root="true" ma:fieldsID="9d8638d06aff927da092ea6a13d6d28c" ns2:_="">
    <xsd:import namespace="2bbb67f6-bffc-474b-aafb-fa77ef9cf4e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bb67f6-bffc-474b-aafb-fa77ef9cf4e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BE0C23A-5102-4081-835D-8A52FB2528A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54BC761-B369-43F7-8379-D7BE3B6A4E5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bbb67f6-bffc-474b-aafb-fa77ef9cf4e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Introduction</vt:lpstr>
      <vt:lpstr>Product backlog</vt:lpstr>
      <vt:lpstr>Sprint 0</vt:lpstr>
      <vt:lpstr>Sprint 1</vt:lpstr>
      <vt:lpstr>Sprint 2</vt:lpstr>
      <vt:lpstr>Sprint 3</vt:lpstr>
      <vt:lpstr>Sprint 4</vt:lpstr>
      <vt:lpstr>Sprint 5</vt:lpstr>
      <vt:lpstr>Sprint 6</vt:lpstr>
      <vt:lpstr>Sprint 7</vt:lpstr>
    </vt:vector>
  </TitlesOfParts>
  <Company>VILLE DE LUXEMBOURG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Gérardin</dc:creator>
  <cp:lastModifiedBy>Wayne Hall</cp:lastModifiedBy>
  <cp:revision/>
  <dcterms:created xsi:type="dcterms:W3CDTF">2009-04-30T08:53:36Z</dcterms:created>
  <dcterms:modified xsi:type="dcterms:W3CDTF">2026-04-01T14:28:23Z</dcterms:modified>
</cp:coreProperties>
</file>